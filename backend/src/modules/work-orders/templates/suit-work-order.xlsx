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seodaewon/Desktop/"/>
    </mc:Choice>
  </mc:AlternateContent>
  <xr:revisionPtr revIDLastSave="0" documentId="13_ncr:1_{A43BC88B-40B6-9D45-A06D-8C69767941C9}" xr6:coauthVersionLast="47" xr6:coauthVersionMax="47" xr10:uidLastSave="{00000000-0000-0000-0000-000000000000}"/>
  <bookViews>
    <workbookView xWindow="0" yWindow="660" windowWidth="29040" windowHeight="15720" firstSheet="3" activeTab="3" xr2:uid="{00000000-000D-0000-FFFF-FFFF00000000}"/>
  </bookViews>
  <sheets>
    <sheet name="바지 (2)" sheetId="9" r:id="rId1"/>
    <sheet name="바지" sheetId="8" r:id="rId2"/>
    <sheet name="자켓" sheetId="7" r:id="rId3"/>
    <sheet name="작업지시서 (송파)" sheetId="4" r:id="rId4"/>
  </sheets>
  <definedNames>
    <definedName name="레귤러바지_노턱" localSheetId="0">'바지 (2)'!$B$61:$J$61</definedName>
    <definedName name="레귤러바지_노턱">바지!$B$61:$R$61</definedName>
    <definedName name="링자켓">자켓!$B$61:$K$61</definedName>
    <definedName name="바지패턴" localSheetId="0">'바지 (2)'!$A$59:$A$63</definedName>
    <definedName name="바지패턴">바지!$A$59:$A$63</definedName>
    <definedName name="슬림바지_노턱" localSheetId="0">'바지 (2)'!$B$62:$K$62</definedName>
    <definedName name="슬림바지_노턱">바지!$B$62:$U$62</definedName>
    <definedName name="슬림바지_원턱" localSheetId="0">'바지 (2)'!$B$63:$K$63</definedName>
    <definedName name="슬림바지_원턱">바지!$B$63:$U$63</definedName>
    <definedName name="자켓패턴">자켓!$A$59:$A$63</definedName>
    <definedName name="클래식">자켓!$B$62:$L$62</definedName>
    <definedName name="클래식바지_원턱" localSheetId="0">'바지 (2)'!$B$60:$N$60</definedName>
    <definedName name="클래식바지_원턱">바지!$B$60:$Z$60</definedName>
    <definedName name="ISAIA바지_노턱" localSheetId="0">'바지 (2)'!$B$59:$M$59</definedName>
    <definedName name="ISAIA바지_노턱">바지!$B$59:$X$59</definedName>
    <definedName name="SJ_1">자켓!$B$59:$K$59</definedName>
    <definedName name="SJ_2">자켓!$B$60:$K$60</definedName>
    <definedName name="SJ_3">자켓!$B$63:$J$63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2" i="9" l="1"/>
  <c r="W51" i="9"/>
  <c r="W49" i="9"/>
  <c r="W48" i="9"/>
  <c r="W47" i="9"/>
  <c r="W41" i="9"/>
  <c r="W40" i="9"/>
  <c r="W38" i="9"/>
  <c r="W37" i="9"/>
  <c r="W36" i="9"/>
  <c r="AB19" i="9"/>
  <c r="AC19" i="9" s="1"/>
  <c r="AB18" i="9"/>
  <c r="AC18" i="9" s="1"/>
  <c r="AB17" i="9"/>
  <c r="AC17" i="9" s="1"/>
  <c r="AB16" i="9"/>
  <c r="AC16" i="9" s="1"/>
  <c r="AB15" i="9"/>
  <c r="AC15" i="9" s="1"/>
  <c r="AB14" i="9"/>
  <c r="AC14" i="9" s="1"/>
  <c r="Z8" i="9"/>
  <c r="Z7" i="9"/>
  <c r="Z5" i="9"/>
  <c r="Z4" i="9"/>
  <c r="Z3" i="9"/>
  <c r="AQ54" i="8"/>
  <c r="AO54" i="8"/>
  <c r="AM54" i="8"/>
  <c r="AK54" i="8"/>
  <c r="AI54" i="8"/>
  <c r="AG54" i="8"/>
  <c r="AE54" i="8"/>
  <c r="AC54" i="8"/>
  <c r="AA54" i="8"/>
  <c r="Y54" i="8"/>
  <c r="W54" i="8"/>
  <c r="U54" i="8"/>
  <c r="S54" i="8"/>
  <c r="Q54" i="8"/>
  <c r="O54" i="8"/>
  <c r="M54" i="8"/>
  <c r="K54" i="8"/>
  <c r="I54" i="8"/>
  <c r="G54" i="8"/>
  <c r="E54" i="8"/>
  <c r="C54" i="8"/>
  <c r="AQ53" i="8"/>
  <c r="AO53" i="8"/>
  <c r="AM53" i="8"/>
  <c r="AK53" i="8"/>
  <c r="AI53" i="8"/>
  <c r="AG53" i="8"/>
  <c r="AE53" i="8"/>
  <c r="AC53" i="8"/>
  <c r="AA53" i="8"/>
  <c r="Y53" i="8"/>
  <c r="W53" i="8"/>
  <c r="U53" i="8"/>
  <c r="S53" i="8"/>
  <c r="Q53" i="8"/>
  <c r="O53" i="8"/>
  <c r="M53" i="8"/>
  <c r="K53" i="8"/>
  <c r="I53" i="8"/>
  <c r="G53" i="8"/>
  <c r="E53" i="8"/>
  <c r="C53" i="8"/>
  <c r="AQ43" i="8"/>
  <c r="AO43" i="8"/>
  <c r="AM43" i="8"/>
  <c r="AK43" i="8"/>
  <c r="AI43" i="8"/>
  <c r="AG43" i="8"/>
  <c r="AE43" i="8"/>
  <c r="AC43" i="8"/>
  <c r="AA43" i="8"/>
  <c r="Y43" i="8"/>
  <c r="W43" i="8"/>
  <c r="U43" i="8"/>
  <c r="S43" i="8"/>
  <c r="Q43" i="8"/>
  <c r="O43" i="8"/>
  <c r="M43" i="8"/>
  <c r="K43" i="8"/>
  <c r="I43" i="8"/>
  <c r="G43" i="8"/>
  <c r="E43" i="8"/>
  <c r="C43" i="8"/>
  <c r="AQ42" i="8"/>
  <c r="AO42" i="8"/>
  <c r="AM42" i="8"/>
  <c r="AK42" i="8"/>
  <c r="AI42" i="8"/>
  <c r="AG42" i="8"/>
  <c r="AE42" i="8"/>
  <c r="AC42" i="8"/>
  <c r="AA42" i="8"/>
  <c r="Y42" i="8"/>
  <c r="W42" i="8"/>
  <c r="U42" i="8"/>
  <c r="S42" i="8"/>
  <c r="Q42" i="8"/>
  <c r="O42" i="8"/>
  <c r="M42" i="8"/>
  <c r="K42" i="8"/>
  <c r="I42" i="8"/>
  <c r="G42" i="8"/>
  <c r="E42" i="8"/>
  <c r="C42" i="8"/>
  <c r="AR52" i="8"/>
  <c r="AS52" i="8" s="1"/>
  <c r="AQ52" i="8"/>
  <c r="AO52" i="8"/>
  <c r="AM52" i="8"/>
  <c r="AK52" i="8"/>
  <c r="AI52" i="8"/>
  <c r="AG52" i="8"/>
  <c r="AE52" i="8"/>
  <c r="AC52" i="8"/>
  <c r="AA52" i="8"/>
  <c r="Y52" i="8"/>
  <c r="W52" i="8"/>
  <c r="AR51" i="8"/>
  <c r="AS51" i="8" s="1"/>
  <c r="AQ51" i="8"/>
  <c r="AO51" i="8"/>
  <c r="AM51" i="8"/>
  <c r="AK51" i="8"/>
  <c r="AI51" i="8"/>
  <c r="AG51" i="8"/>
  <c r="AE51" i="8"/>
  <c r="AC51" i="8"/>
  <c r="AA51" i="8"/>
  <c r="Y51" i="8"/>
  <c r="W51" i="8"/>
  <c r="AQ50" i="8"/>
  <c r="AO50" i="8"/>
  <c r="AM50" i="8"/>
  <c r="AK50" i="8"/>
  <c r="AI50" i="8"/>
  <c r="AG50" i="8"/>
  <c r="AE50" i="8"/>
  <c r="AC50" i="8"/>
  <c r="AA50" i="8"/>
  <c r="Y50" i="8"/>
  <c r="W50" i="8"/>
  <c r="AR49" i="8"/>
  <c r="AS49" i="8" s="1"/>
  <c r="AQ49" i="8"/>
  <c r="AO49" i="8"/>
  <c r="AM49" i="8"/>
  <c r="AK49" i="8"/>
  <c r="AI49" i="8"/>
  <c r="AG49" i="8"/>
  <c r="AE49" i="8"/>
  <c r="AC49" i="8"/>
  <c r="AA49" i="8"/>
  <c r="Y49" i="8"/>
  <c r="W49" i="8"/>
  <c r="AR48" i="8"/>
  <c r="AS48" i="8" s="1"/>
  <c r="AQ48" i="8"/>
  <c r="AO48" i="8"/>
  <c r="AM48" i="8"/>
  <c r="AK48" i="8"/>
  <c r="AI48" i="8"/>
  <c r="AG48" i="8"/>
  <c r="AE48" i="8"/>
  <c r="AC48" i="8"/>
  <c r="AA48" i="8"/>
  <c r="Y48" i="8"/>
  <c r="W48" i="8"/>
  <c r="AR47" i="8"/>
  <c r="AS47" i="8" s="1"/>
  <c r="AQ47" i="8"/>
  <c r="AO47" i="8"/>
  <c r="AM47" i="8"/>
  <c r="AK47" i="8"/>
  <c r="AI47" i="8"/>
  <c r="AG47" i="8"/>
  <c r="AE47" i="8"/>
  <c r="AC47" i="8"/>
  <c r="AA47" i="8"/>
  <c r="Y47" i="8"/>
  <c r="W47" i="8"/>
  <c r="AR41" i="8"/>
  <c r="AS41" i="8" s="1"/>
  <c r="AQ41" i="8"/>
  <c r="AO41" i="8"/>
  <c r="AM41" i="8"/>
  <c r="AK41" i="8"/>
  <c r="AI41" i="8"/>
  <c r="AG41" i="8"/>
  <c r="AE41" i="8"/>
  <c r="AC41" i="8"/>
  <c r="AA41" i="8"/>
  <c r="Y41" i="8"/>
  <c r="W41" i="8"/>
  <c r="AR40" i="8"/>
  <c r="AS40" i="8" s="1"/>
  <c r="AQ40" i="8"/>
  <c r="AO40" i="8"/>
  <c r="AM40" i="8"/>
  <c r="AK40" i="8"/>
  <c r="AI40" i="8"/>
  <c r="AG40" i="8"/>
  <c r="AE40" i="8"/>
  <c r="AC40" i="8"/>
  <c r="AA40" i="8"/>
  <c r="Y40" i="8"/>
  <c r="W40" i="8"/>
  <c r="AQ39" i="8"/>
  <c r="AO39" i="8"/>
  <c r="AM39" i="8"/>
  <c r="AK39" i="8"/>
  <c r="AI39" i="8"/>
  <c r="AG39" i="8"/>
  <c r="AE39" i="8"/>
  <c r="AC39" i="8"/>
  <c r="AA39" i="8"/>
  <c r="Y39" i="8"/>
  <c r="W39" i="8"/>
  <c r="AR38" i="8"/>
  <c r="AS38" i="8" s="1"/>
  <c r="AQ38" i="8"/>
  <c r="AO38" i="8"/>
  <c r="AM38" i="8"/>
  <c r="AK38" i="8"/>
  <c r="AI38" i="8"/>
  <c r="AG38" i="8"/>
  <c r="AE38" i="8"/>
  <c r="AC38" i="8"/>
  <c r="AA38" i="8"/>
  <c r="Y38" i="8"/>
  <c r="W38" i="8"/>
  <c r="AR37" i="8"/>
  <c r="AS37" i="8" s="1"/>
  <c r="AQ37" i="8"/>
  <c r="AO37" i="8"/>
  <c r="AM37" i="8"/>
  <c r="AK37" i="8"/>
  <c r="AI37" i="8"/>
  <c r="AG37" i="8"/>
  <c r="AE37" i="8"/>
  <c r="AC37" i="8"/>
  <c r="AA37" i="8"/>
  <c r="Y37" i="8"/>
  <c r="W37" i="8"/>
  <c r="AR36" i="8"/>
  <c r="AS36" i="8" s="1"/>
  <c r="AQ36" i="8"/>
  <c r="AO36" i="8"/>
  <c r="AM36" i="8"/>
  <c r="AK36" i="8"/>
  <c r="AI36" i="8"/>
  <c r="AG36" i="8"/>
  <c r="AE36" i="8"/>
  <c r="AC36" i="8"/>
  <c r="AA36" i="8"/>
  <c r="Y36" i="8"/>
  <c r="W36" i="8"/>
  <c r="AK32" i="8"/>
  <c r="AI32" i="8"/>
  <c r="AG32" i="8"/>
  <c r="AE32" i="8"/>
  <c r="AC32" i="8"/>
  <c r="AA32" i="8"/>
  <c r="Y32" i="8"/>
  <c r="W32" i="8"/>
  <c r="AK31" i="8"/>
  <c r="AI31" i="8"/>
  <c r="AG31" i="8"/>
  <c r="AE31" i="8"/>
  <c r="AC31" i="8"/>
  <c r="AA31" i="8"/>
  <c r="Y31" i="8"/>
  <c r="W31" i="8"/>
  <c r="AM30" i="8"/>
  <c r="AK30" i="8"/>
  <c r="AI30" i="8"/>
  <c r="AG30" i="8"/>
  <c r="AE30" i="8"/>
  <c r="AC30" i="8"/>
  <c r="AA30" i="8"/>
  <c r="Y30" i="8"/>
  <c r="W30" i="8"/>
  <c r="AM29" i="8"/>
  <c r="AK29" i="8"/>
  <c r="AI29" i="8"/>
  <c r="AG29" i="8"/>
  <c r="AE29" i="8"/>
  <c r="AC29" i="8"/>
  <c r="AA29" i="8"/>
  <c r="Y29" i="8"/>
  <c r="W29" i="8"/>
  <c r="AM28" i="8"/>
  <c r="AK28" i="8"/>
  <c r="AI28" i="8"/>
  <c r="AG28" i="8"/>
  <c r="AE28" i="8"/>
  <c r="AC28" i="8"/>
  <c r="AA28" i="8"/>
  <c r="Y28" i="8"/>
  <c r="W28" i="8"/>
  <c r="AM27" i="8"/>
  <c r="AK27" i="8"/>
  <c r="AI27" i="8"/>
  <c r="AG27" i="8"/>
  <c r="AE27" i="8"/>
  <c r="AC27" i="8"/>
  <c r="AA27" i="8"/>
  <c r="Y27" i="8"/>
  <c r="W27" i="8"/>
  <c r="AM26" i="8"/>
  <c r="AK26" i="8"/>
  <c r="AI26" i="8"/>
  <c r="AG26" i="8"/>
  <c r="AE26" i="8"/>
  <c r="AC26" i="8"/>
  <c r="AA26" i="8"/>
  <c r="Y26" i="8"/>
  <c r="W26" i="8"/>
  <c r="AM25" i="8"/>
  <c r="AK25" i="8"/>
  <c r="AI25" i="8"/>
  <c r="AG25" i="8"/>
  <c r="AE25" i="8"/>
  <c r="AC25" i="8"/>
  <c r="AA25" i="8"/>
  <c r="Y25" i="8"/>
  <c r="W25" i="8"/>
  <c r="BA21" i="8"/>
  <c r="AY21" i="8"/>
  <c r="AW21" i="8"/>
  <c r="AU21" i="8"/>
  <c r="AS21" i="8"/>
  <c r="AQ21" i="8"/>
  <c r="AM21" i="8"/>
  <c r="AK21" i="8"/>
  <c r="AI21" i="8"/>
  <c r="AG21" i="8"/>
  <c r="AE21" i="8"/>
  <c r="AC21" i="8"/>
  <c r="BA20" i="8"/>
  <c r="AY20" i="8"/>
  <c r="AW20" i="8"/>
  <c r="AU20" i="8"/>
  <c r="AS20" i="8"/>
  <c r="AQ20" i="8"/>
  <c r="AO20" i="8"/>
  <c r="AM20" i="8"/>
  <c r="AK20" i="8"/>
  <c r="AI20" i="8"/>
  <c r="AG20" i="8"/>
  <c r="AE20" i="8"/>
  <c r="AC20" i="8"/>
  <c r="BB19" i="8"/>
  <c r="BC19" i="8" s="1"/>
  <c r="BA19" i="8"/>
  <c r="AY19" i="8"/>
  <c r="AW19" i="8"/>
  <c r="AU19" i="8"/>
  <c r="AS19" i="8"/>
  <c r="AQ19" i="8"/>
  <c r="AO19" i="8"/>
  <c r="AM19" i="8"/>
  <c r="AK19" i="8"/>
  <c r="AI19" i="8"/>
  <c r="AG19" i="8"/>
  <c r="AE19" i="8"/>
  <c r="AC19" i="8"/>
  <c r="BB18" i="8"/>
  <c r="BC18" i="8" s="1"/>
  <c r="BA18" i="8"/>
  <c r="AY18" i="8"/>
  <c r="AW18" i="8"/>
  <c r="AU18" i="8"/>
  <c r="AS18" i="8"/>
  <c r="AQ18" i="8"/>
  <c r="AO18" i="8"/>
  <c r="AM18" i="8"/>
  <c r="AK18" i="8"/>
  <c r="AI18" i="8"/>
  <c r="AG18" i="8"/>
  <c r="AE18" i="8"/>
  <c r="AC18" i="8"/>
  <c r="BB17" i="8"/>
  <c r="BC17" i="8" s="1"/>
  <c r="BA17" i="8"/>
  <c r="AY17" i="8"/>
  <c r="AW17" i="8"/>
  <c r="AU17" i="8"/>
  <c r="AS17" i="8"/>
  <c r="AQ17" i="8"/>
  <c r="AO17" i="8"/>
  <c r="AM17" i="8"/>
  <c r="AK17" i="8"/>
  <c r="AI17" i="8"/>
  <c r="AG17" i="8"/>
  <c r="AE17" i="8"/>
  <c r="AC17" i="8"/>
  <c r="BB16" i="8"/>
  <c r="BC16" i="8" s="1"/>
  <c r="BA16" i="8"/>
  <c r="AY16" i="8"/>
  <c r="AW16" i="8"/>
  <c r="AU16" i="8"/>
  <c r="AS16" i="8"/>
  <c r="AQ16" i="8"/>
  <c r="AO16" i="8"/>
  <c r="AM16" i="8"/>
  <c r="AK16" i="8"/>
  <c r="AI16" i="8"/>
  <c r="AG16" i="8"/>
  <c r="AE16" i="8"/>
  <c r="AC16" i="8"/>
  <c r="BB15" i="8"/>
  <c r="BC15" i="8" s="1"/>
  <c r="BA15" i="8"/>
  <c r="AY15" i="8"/>
  <c r="AW15" i="8"/>
  <c r="AU15" i="8"/>
  <c r="AS15" i="8"/>
  <c r="AQ15" i="8"/>
  <c r="AO15" i="8"/>
  <c r="AM15" i="8"/>
  <c r="AK15" i="8"/>
  <c r="AI15" i="8"/>
  <c r="AG15" i="8"/>
  <c r="AE15" i="8"/>
  <c r="AC15" i="8"/>
  <c r="BB14" i="8"/>
  <c r="BC14" i="8" s="1"/>
  <c r="BA14" i="8"/>
  <c r="AY14" i="8"/>
  <c r="AW14" i="8"/>
  <c r="AU14" i="8"/>
  <c r="AS14" i="8"/>
  <c r="AQ14" i="8"/>
  <c r="AO14" i="8"/>
  <c r="AM14" i="8"/>
  <c r="AK14" i="8"/>
  <c r="AI14" i="8"/>
  <c r="AG14" i="8"/>
  <c r="AE14" i="8"/>
  <c r="AC14" i="8"/>
  <c r="AW10" i="8"/>
  <c r="AU10" i="8"/>
  <c r="AS10" i="8"/>
  <c r="AQ10" i="8"/>
  <c r="AO10" i="8"/>
  <c r="AM10" i="8"/>
  <c r="AK10" i="8"/>
  <c r="AI10" i="8"/>
  <c r="AG10" i="8"/>
  <c r="AE10" i="8"/>
  <c r="AC10" i="8"/>
  <c r="AA10" i="8"/>
  <c r="Y10" i="8"/>
  <c r="W10" i="8"/>
  <c r="AW9" i="8"/>
  <c r="AU9" i="8"/>
  <c r="AS9" i="8"/>
  <c r="AQ9" i="8"/>
  <c r="AO9" i="8"/>
  <c r="AM9" i="8"/>
  <c r="AK9" i="8"/>
  <c r="AI9" i="8"/>
  <c r="AG9" i="8"/>
  <c r="AE9" i="8"/>
  <c r="AC9" i="8"/>
  <c r="AA9" i="8"/>
  <c r="Y9" i="8"/>
  <c r="W9" i="8"/>
  <c r="AX8" i="8"/>
  <c r="AY8" i="8" s="1"/>
  <c r="AW8" i="8"/>
  <c r="AU8" i="8"/>
  <c r="AS8" i="8"/>
  <c r="AQ8" i="8"/>
  <c r="AO8" i="8"/>
  <c r="AM8" i="8"/>
  <c r="AK8" i="8"/>
  <c r="AI8" i="8"/>
  <c r="AG8" i="8"/>
  <c r="AE8" i="8"/>
  <c r="AC8" i="8"/>
  <c r="AA8" i="8"/>
  <c r="Y8" i="8"/>
  <c r="W8" i="8"/>
  <c r="AX7" i="8"/>
  <c r="AY7" i="8" s="1"/>
  <c r="AW7" i="8"/>
  <c r="AU7" i="8"/>
  <c r="AS7" i="8"/>
  <c r="AQ7" i="8"/>
  <c r="AO7" i="8"/>
  <c r="AM7" i="8"/>
  <c r="AK7" i="8"/>
  <c r="AI7" i="8"/>
  <c r="AG7" i="8"/>
  <c r="AE7" i="8"/>
  <c r="AC7" i="8"/>
  <c r="AA7" i="8"/>
  <c r="Y7" i="8"/>
  <c r="W7" i="8"/>
  <c r="AW6" i="8"/>
  <c r="AU6" i="8"/>
  <c r="AS6" i="8"/>
  <c r="AQ6" i="8"/>
  <c r="AO6" i="8"/>
  <c r="AM6" i="8"/>
  <c r="AK6" i="8"/>
  <c r="AI6" i="8"/>
  <c r="AG6" i="8"/>
  <c r="AE6" i="8"/>
  <c r="AC6" i="8"/>
  <c r="AA6" i="8"/>
  <c r="Y6" i="8"/>
  <c r="W6" i="8"/>
  <c r="AX5" i="8"/>
  <c r="AY5" i="8" s="1"/>
  <c r="AW5" i="8"/>
  <c r="AU5" i="8"/>
  <c r="AS5" i="8"/>
  <c r="AQ5" i="8"/>
  <c r="AO5" i="8"/>
  <c r="AM5" i="8"/>
  <c r="AK5" i="8"/>
  <c r="AI5" i="8"/>
  <c r="AG5" i="8"/>
  <c r="AE5" i="8"/>
  <c r="AC5" i="8"/>
  <c r="AA5" i="8"/>
  <c r="Y5" i="8"/>
  <c r="W5" i="8"/>
  <c r="AX4" i="8"/>
  <c r="AY4" i="8" s="1"/>
  <c r="AW4" i="8"/>
  <c r="AU4" i="8"/>
  <c r="AS4" i="8"/>
  <c r="AQ4" i="8"/>
  <c r="AO4" i="8"/>
  <c r="AM4" i="8"/>
  <c r="AK4" i="8"/>
  <c r="AI4" i="8"/>
  <c r="AG4" i="8"/>
  <c r="AE4" i="8"/>
  <c r="AC4" i="8"/>
  <c r="AA4" i="8"/>
  <c r="Y4" i="8"/>
  <c r="W4" i="8"/>
  <c r="AX3" i="8"/>
  <c r="AY3" i="8" s="1"/>
  <c r="AW3" i="8"/>
  <c r="AU3" i="8"/>
  <c r="AS3" i="8"/>
  <c r="AQ3" i="8"/>
  <c r="AO3" i="8"/>
  <c r="AM3" i="8"/>
  <c r="AK3" i="8"/>
  <c r="AI3" i="8"/>
  <c r="AG3" i="8"/>
  <c r="AE3" i="8"/>
  <c r="AC3" i="8"/>
  <c r="AA3" i="8"/>
  <c r="Y3" i="8"/>
  <c r="W3" i="8"/>
  <c r="U52" i="8"/>
  <c r="S52" i="8"/>
  <c r="Q52" i="8"/>
  <c r="O52" i="8"/>
  <c r="M52" i="8"/>
  <c r="K52" i="8"/>
  <c r="I52" i="8"/>
  <c r="G52" i="8"/>
  <c r="E52" i="8"/>
  <c r="C52" i="8"/>
  <c r="U51" i="8"/>
  <c r="S51" i="8"/>
  <c r="Q51" i="8"/>
  <c r="O51" i="8"/>
  <c r="M51" i="8"/>
  <c r="K51" i="8"/>
  <c r="I51" i="8"/>
  <c r="G51" i="8"/>
  <c r="E51" i="8"/>
  <c r="C51" i="8"/>
  <c r="U50" i="8"/>
  <c r="S50" i="8"/>
  <c r="Q50" i="8"/>
  <c r="O50" i="8"/>
  <c r="M50" i="8"/>
  <c r="K50" i="8"/>
  <c r="I50" i="8"/>
  <c r="G50" i="8"/>
  <c r="E50" i="8"/>
  <c r="C50" i="8"/>
  <c r="U49" i="8"/>
  <c r="S49" i="8"/>
  <c r="Q49" i="8"/>
  <c r="O49" i="8"/>
  <c r="M49" i="8"/>
  <c r="K49" i="8"/>
  <c r="I49" i="8"/>
  <c r="G49" i="8"/>
  <c r="E49" i="8"/>
  <c r="C49" i="8"/>
  <c r="U48" i="8"/>
  <c r="S48" i="8"/>
  <c r="Q48" i="8"/>
  <c r="O48" i="8"/>
  <c r="M48" i="8"/>
  <c r="K48" i="8"/>
  <c r="I48" i="8"/>
  <c r="G48" i="8"/>
  <c r="E48" i="8"/>
  <c r="C48" i="8"/>
  <c r="U47" i="8"/>
  <c r="S47" i="8"/>
  <c r="Q47" i="8"/>
  <c r="O47" i="8"/>
  <c r="M47" i="8"/>
  <c r="K47" i="8"/>
  <c r="I47" i="8"/>
  <c r="G47" i="8"/>
  <c r="E47" i="8"/>
  <c r="C47" i="8"/>
  <c r="U41" i="8"/>
  <c r="S41" i="8"/>
  <c r="Q41" i="8"/>
  <c r="O41" i="8"/>
  <c r="M41" i="8"/>
  <c r="K41" i="8"/>
  <c r="I41" i="8"/>
  <c r="G41" i="8"/>
  <c r="E41" i="8"/>
  <c r="C41" i="8"/>
  <c r="U40" i="8"/>
  <c r="S40" i="8"/>
  <c r="Q40" i="8"/>
  <c r="O40" i="8"/>
  <c r="M40" i="8"/>
  <c r="K40" i="8"/>
  <c r="I40" i="8"/>
  <c r="G40" i="8"/>
  <c r="E40" i="8"/>
  <c r="C40" i="8"/>
  <c r="U39" i="8"/>
  <c r="S39" i="8"/>
  <c r="Q39" i="8"/>
  <c r="O39" i="8"/>
  <c r="M39" i="8"/>
  <c r="K39" i="8"/>
  <c r="I39" i="8"/>
  <c r="G39" i="8"/>
  <c r="E39" i="8"/>
  <c r="C39" i="8"/>
  <c r="U38" i="8"/>
  <c r="S38" i="8"/>
  <c r="Q38" i="8"/>
  <c r="O38" i="8"/>
  <c r="M38" i="8"/>
  <c r="K38" i="8"/>
  <c r="I38" i="8"/>
  <c r="G38" i="8"/>
  <c r="E38" i="8"/>
  <c r="C38" i="8"/>
  <c r="U37" i="8"/>
  <c r="S37" i="8"/>
  <c r="Q37" i="8"/>
  <c r="O37" i="8"/>
  <c r="M37" i="8"/>
  <c r="K37" i="8"/>
  <c r="I37" i="8"/>
  <c r="G37" i="8"/>
  <c r="E37" i="8"/>
  <c r="C37" i="8"/>
  <c r="U36" i="8"/>
  <c r="S36" i="8"/>
  <c r="Q36" i="8"/>
  <c r="O36" i="8"/>
  <c r="M36" i="8"/>
  <c r="K36" i="8"/>
  <c r="I36" i="8"/>
  <c r="G36" i="8"/>
  <c r="E36" i="8"/>
  <c r="C36" i="8"/>
  <c r="U32" i="8"/>
  <c r="S32" i="8"/>
  <c r="Q32" i="8"/>
  <c r="O32" i="8"/>
  <c r="M32" i="8"/>
  <c r="K32" i="8"/>
  <c r="I32" i="8"/>
  <c r="G32" i="8"/>
  <c r="E32" i="8"/>
  <c r="C32" i="8"/>
  <c r="U31" i="8"/>
  <c r="S31" i="8"/>
  <c r="Q31" i="8"/>
  <c r="O31" i="8"/>
  <c r="M31" i="8"/>
  <c r="K31" i="8"/>
  <c r="I31" i="8"/>
  <c r="G31" i="8"/>
  <c r="E31" i="8"/>
  <c r="C31" i="8"/>
  <c r="U30" i="8"/>
  <c r="S30" i="8"/>
  <c r="Q30" i="8"/>
  <c r="O30" i="8"/>
  <c r="M30" i="8"/>
  <c r="K30" i="8"/>
  <c r="I30" i="8"/>
  <c r="G30" i="8"/>
  <c r="E30" i="8"/>
  <c r="C30" i="8"/>
  <c r="U29" i="8"/>
  <c r="S29" i="8"/>
  <c r="Q29" i="8"/>
  <c r="O29" i="8"/>
  <c r="M29" i="8"/>
  <c r="K29" i="8"/>
  <c r="I29" i="8"/>
  <c r="G29" i="8"/>
  <c r="E29" i="8"/>
  <c r="C29" i="8"/>
  <c r="U28" i="8"/>
  <c r="S28" i="8"/>
  <c r="Q28" i="8"/>
  <c r="O28" i="8"/>
  <c r="M28" i="8"/>
  <c r="K28" i="8"/>
  <c r="I28" i="8"/>
  <c r="G28" i="8"/>
  <c r="E28" i="8"/>
  <c r="C28" i="8"/>
  <c r="U27" i="8"/>
  <c r="S27" i="8"/>
  <c r="Q27" i="8"/>
  <c r="O27" i="8"/>
  <c r="M27" i="8"/>
  <c r="K27" i="8"/>
  <c r="I27" i="8"/>
  <c r="G27" i="8"/>
  <c r="E27" i="8"/>
  <c r="C27" i="8"/>
  <c r="U26" i="8"/>
  <c r="S26" i="8"/>
  <c r="Q26" i="8"/>
  <c r="O26" i="8"/>
  <c r="M26" i="8"/>
  <c r="K26" i="8"/>
  <c r="I26" i="8"/>
  <c r="G26" i="8"/>
  <c r="E26" i="8"/>
  <c r="C26" i="8"/>
  <c r="U25" i="8"/>
  <c r="S25" i="8"/>
  <c r="Q25" i="8"/>
  <c r="O25" i="8"/>
  <c r="M25" i="8"/>
  <c r="K25" i="8"/>
  <c r="I25" i="8"/>
  <c r="G25" i="8"/>
  <c r="E25" i="8"/>
  <c r="C25" i="8"/>
  <c r="AA21" i="8"/>
  <c r="Y21" i="8"/>
  <c r="W21" i="8"/>
  <c r="U21" i="8"/>
  <c r="S21" i="8"/>
  <c r="Q21" i="8"/>
  <c r="O21" i="8"/>
  <c r="M21" i="8"/>
  <c r="K21" i="8"/>
  <c r="I21" i="8"/>
  <c r="G21" i="8"/>
  <c r="E21" i="8"/>
  <c r="C21" i="8"/>
  <c r="AA20" i="8"/>
  <c r="Y20" i="8"/>
  <c r="W20" i="8"/>
  <c r="U20" i="8"/>
  <c r="S20" i="8"/>
  <c r="Q20" i="8"/>
  <c r="O20" i="8"/>
  <c r="M20" i="8"/>
  <c r="K20" i="8"/>
  <c r="I20" i="8"/>
  <c r="G20" i="8"/>
  <c r="E20" i="8"/>
  <c r="C20" i="8"/>
  <c r="AA19" i="8"/>
  <c r="Y19" i="8"/>
  <c r="W19" i="8"/>
  <c r="U19" i="8"/>
  <c r="S19" i="8"/>
  <c r="Q19" i="8"/>
  <c r="O19" i="8"/>
  <c r="M19" i="8"/>
  <c r="K19" i="8"/>
  <c r="I19" i="8"/>
  <c r="G19" i="8"/>
  <c r="E19" i="8"/>
  <c r="C19" i="8"/>
  <c r="AA18" i="8"/>
  <c r="Y18" i="8"/>
  <c r="W18" i="8"/>
  <c r="U18" i="8"/>
  <c r="S18" i="8"/>
  <c r="Q18" i="8"/>
  <c r="O18" i="8"/>
  <c r="M18" i="8"/>
  <c r="K18" i="8"/>
  <c r="I18" i="8"/>
  <c r="G18" i="8"/>
  <c r="E18" i="8"/>
  <c r="C18" i="8"/>
  <c r="AA17" i="8"/>
  <c r="Y17" i="8"/>
  <c r="W17" i="8"/>
  <c r="U17" i="8"/>
  <c r="S17" i="8"/>
  <c r="Q17" i="8"/>
  <c r="O17" i="8"/>
  <c r="M17" i="8"/>
  <c r="K17" i="8"/>
  <c r="I17" i="8"/>
  <c r="G17" i="8"/>
  <c r="E17" i="8"/>
  <c r="C17" i="8"/>
  <c r="AA16" i="8"/>
  <c r="Y16" i="8"/>
  <c r="W16" i="8"/>
  <c r="U16" i="8"/>
  <c r="S16" i="8"/>
  <c r="Q16" i="8"/>
  <c r="O16" i="8"/>
  <c r="M16" i="8"/>
  <c r="K16" i="8"/>
  <c r="I16" i="8"/>
  <c r="G16" i="8"/>
  <c r="E16" i="8"/>
  <c r="C16" i="8"/>
  <c r="AA15" i="8"/>
  <c r="Y15" i="8"/>
  <c r="W15" i="8"/>
  <c r="U15" i="8"/>
  <c r="S15" i="8"/>
  <c r="Q15" i="8"/>
  <c r="O15" i="8"/>
  <c r="M15" i="8"/>
  <c r="K15" i="8"/>
  <c r="I15" i="8"/>
  <c r="G15" i="8"/>
  <c r="E15" i="8"/>
  <c r="C15" i="8"/>
  <c r="AA14" i="8"/>
  <c r="Y14" i="8"/>
  <c r="W14" i="8"/>
  <c r="U14" i="8"/>
  <c r="S14" i="8"/>
  <c r="Q14" i="8"/>
  <c r="O14" i="8"/>
  <c r="M14" i="8"/>
  <c r="K14" i="8"/>
  <c r="I14" i="8"/>
  <c r="G14" i="8"/>
  <c r="E14" i="8"/>
  <c r="C14" i="8"/>
  <c r="U10" i="8"/>
  <c r="S10" i="8"/>
  <c r="Q10" i="8"/>
  <c r="O10" i="8"/>
  <c r="M10" i="8"/>
  <c r="K10" i="8"/>
  <c r="I10" i="8"/>
  <c r="G10" i="8"/>
  <c r="E10" i="8"/>
  <c r="C10" i="8"/>
  <c r="U9" i="8"/>
  <c r="S9" i="8"/>
  <c r="Q9" i="8"/>
  <c r="O9" i="8"/>
  <c r="M9" i="8"/>
  <c r="K9" i="8"/>
  <c r="I9" i="8"/>
  <c r="G9" i="8"/>
  <c r="E9" i="8"/>
  <c r="C9" i="8"/>
  <c r="U8" i="8"/>
  <c r="S8" i="8"/>
  <c r="Q8" i="8"/>
  <c r="O8" i="8"/>
  <c r="M8" i="8"/>
  <c r="K8" i="8"/>
  <c r="I8" i="8"/>
  <c r="G8" i="8"/>
  <c r="E8" i="8"/>
  <c r="C8" i="8"/>
  <c r="U7" i="8"/>
  <c r="S7" i="8"/>
  <c r="Q7" i="8"/>
  <c r="O7" i="8"/>
  <c r="M7" i="8"/>
  <c r="K7" i="8"/>
  <c r="I7" i="8"/>
  <c r="G7" i="8"/>
  <c r="E7" i="8"/>
  <c r="C7" i="8"/>
  <c r="U6" i="8"/>
  <c r="S6" i="8"/>
  <c r="Q6" i="8"/>
  <c r="O6" i="8"/>
  <c r="M6" i="8"/>
  <c r="K6" i="8"/>
  <c r="I6" i="8"/>
  <c r="G6" i="8"/>
  <c r="E6" i="8"/>
  <c r="C6" i="8"/>
  <c r="U5" i="8"/>
  <c r="S5" i="8"/>
  <c r="Q5" i="8"/>
  <c r="O5" i="8"/>
  <c r="M5" i="8"/>
  <c r="K5" i="8"/>
  <c r="I5" i="8"/>
  <c r="G5" i="8"/>
  <c r="E5" i="8"/>
  <c r="C5" i="8"/>
  <c r="U4" i="8"/>
  <c r="S4" i="8"/>
  <c r="Q4" i="8"/>
  <c r="O4" i="8"/>
  <c r="M4" i="8"/>
  <c r="K4" i="8"/>
  <c r="I4" i="8"/>
  <c r="G4" i="8"/>
  <c r="E4" i="8"/>
  <c r="C4" i="8"/>
  <c r="U3" i="8"/>
  <c r="S3" i="8"/>
  <c r="Q3" i="8"/>
  <c r="O3" i="8"/>
  <c r="M3" i="8"/>
  <c r="K3" i="8"/>
  <c r="I3" i="8"/>
  <c r="G3" i="8"/>
  <c r="E3" i="8"/>
  <c r="C3" i="8"/>
  <c r="S53" i="7" l="1"/>
  <c r="Q53" i="7"/>
  <c r="O53" i="7"/>
  <c r="M53" i="7"/>
  <c r="K53" i="7"/>
  <c r="I53" i="7"/>
  <c r="G53" i="7"/>
  <c r="E53" i="7"/>
  <c r="C53" i="7"/>
  <c r="T52" i="7"/>
  <c r="U52" i="7" s="1"/>
  <c r="S52" i="7"/>
  <c r="Q52" i="7"/>
  <c r="O52" i="7"/>
  <c r="M52" i="7"/>
  <c r="K52" i="7"/>
  <c r="I52" i="7"/>
  <c r="G52" i="7"/>
  <c r="E52" i="7"/>
  <c r="C52" i="7"/>
  <c r="T51" i="7"/>
  <c r="U51" i="7" s="1"/>
  <c r="S51" i="7"/>
  <c r="Q51" i="7"/>
  <c r="O51" i="7"/>
  <c r="M51" i="7"/>
  <c r="K51" i="7"/>
  <c r="I51" i="7"/>
  <c r="G51" i="7"/>
  <c r="E51" i="7"/>
  <c r="C51" i="7"/>
  <c r="T50" i="7"/>
  <c r="U50" i="7" s="1"/>
  <c r="S50" i="7"/>
  <c r="Q50" i="7"/>
  <c r="O50" i="7"/>
  <c r="M50" i="7"/>
  <c r="K50" i="7"/>
  <c r="I50" i="7"/>
  <c r="G50" i="7"/>
  <c r="E50" i="7"/>
  <c r="C50" i="7"/>
  <c r="T49" i="7"/>
  <c r="U49" i="7" s="1"/>
  <c r="S49" i="7"/>
  <c r="Q49" i="7"/>
  <c r="O49" i="7"/>
  <c r="M49" i="7"/>
  <c r="K49" i="7"/>
  <c r="I49" i="7"/>
  <c r="G49" i="7"/>
  <c r="E49" i="7"/>
  <c r="C49" i="7"/>
  <c r="T48" i="7"/>
  <c r="U48" i="7" s="1"/>
  <c r="S48" i="7"/>
  <c r="Q48" i="7"/>
  <c r="O48" i="7"/>
  <c r="M48" i="7"/>
  <c r="K48" i="7"/>
  <c r="I48" i="7"/>
  <c r="G48" i="7"/>
  <c r="E48" i="7"/>
  <c r="C48" i="7"/>
  <c r="T47" i="7"/>
  <c r="U47" i="7" s="1"/>
  <c r="S47" i="7"/>
  <c r="Q47" i="7"/>
  <c r="O47" i="7"/>
  <c r="M47" i="7"/>
  <c r="K47" i="7"/>
  <c r="I47" i="7"/>
  <c r="G47" i="7"/>
  <c r="E47" i="7"/>
  <c r="C47" i="7"/>
  <c r="T46" i="7"/>
  <c r="U46" i="7" s="1"/>
  <c r="S46" i="7"/>
  <c r="Q46" i="7"/>
  <c r="O46" i="7"/>
  <c r="M46" i="7"/>
  <c r="K46" i="7"/>
  <c r="I46" i="7"/>
  <c r="G46" i="7"/>
  <c r="E46" i="7"/>
  <c r="C46" i="7"/>
  <c r="Y42" i="7"/>
  <c r="W42" i="7"/>
  <c r="U42" i="7"/>
  <c r="S42" i="7"/>
  <c r="Q42" i="7"/>
  <c r="O42" i="7"/>
  <c r="M42" i="7"/>
  <c r="K42" i="7"/>
  <c r="I42" i="7"/>
  <c r="G42" i="7"/>
  <c r="E42" i="7"/>
  <c r="C42" i="7"/>
  <c r="AA41" i="7"/>
  <c r="Y41" i="7"/>
  <c r="W41" i="7"/>
  <c r="U41" i="7"/>
  <c r="S41" i="7"/>
  <c r="Q41" i="7"/>
  <c r="O41" i="7"/>
  <c r="M41" i="7"/>
  <c r="K41" i="7"/>
  <c r="I41" i="7"/>
  <c r="G41" i="7"/>
  <c r="E41" i="7"/>
  <c r="C41" i="7"/>
  <c r="AA40" i="7"/>
  <c r="Y40" i="7"/>
  <c r="W40" i="7"/>
  <c r="U40" i="7"/>
  <c r="S40" i="7"/>
  <c r="Q40" i="7"/>
  <c r="O40" i="7"/>
  <c r="M40" i="7"/>
  <c r="K40" i="7"/>
  <c r="I40" i="7"/>
  <c r="G40" i="7"/>
  <c r="E40" i="7"/>
  <c r="C40" i="7"/>
  <c r="AA39" i="7"/>
  <c r="Y39" i="7"/>
  <c r="W39" i="7"/>
  <c r="U39" i="7"/>
  <c r="S39" i="7"/>
  <c r="Q39" i="7"/>
  <c r="O39" i="7"/>
  <c r="M39" i="7"/>
  <c r="K39" i="7"/>
  <c r="I39" i="7"/>
  <c r="G39" i="7"/>
  <c r="E39" i="7"/>
  <c r="C39" i="7"/>
  <c r="AA38" i="7"/>
  <c r="Y38" i="7"/>
  <c r="W38" i="7"/>
  <c r="U38" i="7"/>
  <c r="S38" i="7"/>
  <c r="Q38" i="7"/>
  <c r="O38" i="7"/>
  <c r="M38" i="7"/>
  <c r="K38" i="7"/>
  <c r="I38" i="7"/>
  <c r="G38" i="7"/>
  <c r="E38" i="7"/>
  <c r="C38" i="7"/>
  <c r="AA37" i="7"/>
  <c r="Y37" i="7"/>
  <c r="W37" i="7"/>
  <c r="U37" i="7"/>
  <c r="S37" i="7"/>
  <c r="Q37" i="7"/>
  <c r="O37" i="7"/>
  <c r="M37" i="7"/>
  <c r="K37" i="7"/>
  <c r="I37" i="7"/>
  <c r="G37" i="7"/>
  <c r="E37" i="7"/>
  <c r="C37" i="7"/>
  <c r="AA36" i="7"/>
  <c r="Y36" i="7"/>
  <c r="W36" i="7"/>
  <c r="U36" i="7"/>
  <c r="S36" i="7"/>
  <c r="Q36" i="7"/>
  <c r="O36" i="7"/>
  <c r="M36" i="7"/>
  <c r="K36" i="7"/>
  <c r="I36" i="7"/>
  <c r="G36" i="7"/>
  <c r="E36" i="7"/>
  <c r="C36" i="7"/>
  <c r="AA35" i="7"/>
  <c r="Y35" i="7"/>
  <c r="W35" i="7"/>
  <c r="U35" i="7"/>
  <c r="S35" i="7"/>
  <c r="Q35" i="7"/>
  <c r="O35" i="7"/>
  <c r="M35" i="7"/>
  <c r="K35" i="7"/>
  <c r="I35" i="7"/>
  <c r="G35" i="7"/>
  <c r="E35" i="7"/>
  <c r="C35" i="7"/>
  <c r="U31" i="7"/>
  <c r="S31" i="7"/>
  <c r="Q31" i="7"/>
  <c r="O31" i="7"/>
  <c r="M31" i="7"/>
  <c r="K31" i="7"/>
  <c r="I31" i="7"/>
  <c r="G31" i="7"/>
  <c r="E31" i="7"/>
  <c r="C31" i="7"/>
  <c r="U30" i="7"/>
  <c r="S30" i="7"/>
  <c r="Q30" i="7"/>
  <c r="O30" i="7"/>
  <c r="M30" i="7"/>
  <c r="K30" i="7"/>
  <c r="I30" i="7"/>
  <c r="G30" i="7"/>
  <c r="E30" i="7"/>
  <c r="C30" i="7"/>
  <c r="U29" i="7"/>
  <c r="S29" i="7"/>
  <c r="Q29" i="7"/>
  <c r="O29" i="7"/>
  <c r="M29" i="7"/>
  <c r="K29" i="7"/>
  <c r="I29" i="7"/>
  <c r="G29" i="7"/>
  <c r="E29" i="7"/>
  <c r="C29" i="7"/>
  <c r="U28" i="7"/>
  <c r="S28" i="7"/>
  <c r="Q28" i="7"/>
  <c r="O28" i="7"/>
  <c r="M28" i="7"/>
  <c r="K28" i="7"/>
  <c r="I28" i="7"/>
  <c r="G28" i="7"/>
  <c r="E28" i="7"/>
  <c r="C28" i="7"/>
  <c r="U27" i="7"/>
  <c r="S27" i="7"/>
  <c r="Q27" i="7"/>
  <c r="O27" i="7"/>
  <c r="M27" i="7"/>
  <c r="K27" i="7"/>
  <c r="I27" i="7"/>
  <c r="G27" i="7"/>
  <c r="E27" i="7"/>
  <c r="C27" i="7"/>
  <c r="U26" i="7"/>
  <c r="S26" i="7"/>
  <c r="Q26" i="7"/>
  <c r="O26" i="7"/>
  <c r="M26" i="7"/>
  <c r="K26" i="7"/>
  <c r="I26" i="7"/>
  <c r="G26" i="7"/>
  <c r="E26" i="7"/>
  <c r="C26" i="7"/>
  <c r="U25" i="7"/>
  <c r="S25" i="7"/>
  <c r="Q25" i="7"/>
  <c r="O25" i="7"/>
  <c r="M25" i="7"/>
  <c r="K25" i="7"/>
  <c r="I25" i="7"/>
  <c r="G25" i="7"/>
  <c r="E25" i="7"/>
  <c r="C25" i="7"/>
  <c r="U24" i="7"/>
  <c r="S24" i="7"/>
  <c r="Q24" i="7"/>
  <c r="O24" i="7"/>
  <c r="M24" i="7"/>
  <c r="K24" i="7"/>
  <c r="I24" i="7"/>
  <c r="G24" i="7"/>
  <c r="E24" i="7"/>
  <c r="C24" i="7"/>
  <c r="U21" i="7"/>
  <c r="S21" i="7"/>
  <c r="Q21" i="7"/>
  <c r="O21" i="7"/>
  <c r="M21" i="7"/>
  <c r="K21" i="7"/>
  <c r="I21" i="7"/>
  <c r="G21" i="7"/>
  <c r="E21" i="7"/>
  <c r="C21" i="7"/>
  <c r="V20" i="7"/>
  <c r="W20" i="7" s="1"/>
  <c r="U20" i="7"/>
  <c r="S20" i="7"/>
  <c r="Q20" i="7"/>
  <c r="O20" i="7"/>
  <c r="M20" i="7"/>
  <c r="K20" i="7"/>
  <c r="I20" i="7"/>
  <c r="G20" i="7"/>
  <c r="E20" i="7"/>
  <c r="C20" i="7"/>
  <c r="V19" i="7"/>
  <c r="W19" i="7" s="1"/>
  <c r="U19" i="7"/>
  <c r="S19" i="7"/>
  <c r="Q19" i="7"/>
  <c r="O19" i="7"/>
  <c r="M19" i="7"/>
  <c r="K19" i="7"/>
  <c r="I19" i="7"/>
  <c r="G19" i="7"/>
  <c r="E19" i="7"/>
  <c r="C19" i="7"/>
  <c r="V18" i="7"/>
  <c r="W18" i="7" s="1"/>
  <c r="U18" i="7"/>
  <c r="S18" i="7"/>
  <c r="Q18" i="7"/>
  <c r="O18" i="7"/>
  <c r="M18" i="7"/>
  <c r="K18" i="7"/>
  <c r="I18" i="7"/>
  <c r="G18" i="7"/>
  <c r="E18" i="7"/>
  <c r="C18" i="7"/>
  <c r="V17" i="7"/>
  <c r="W17" i="7" s="1"/>
  <c r="U17" i="7"/>
  <c r="S17" i="7"/>
  <c r="Q17" i="7"/>
  <c r="O17" i="7"/>
  <c r="M17" i="7"/>
  <c r="K17" i="7"/>
  <c r="I17" i="7"/>
  <c r="G17" i="7"/>
  <c r="E17" i="7"/>
  <c r="C17" i="7"/>
  <c r="V16" i="7"/>
  <c r="W16" i="7" s="1"/>
  <c r="U16" i="7"/>
  <c r="S16" i="7"/>
  <c r="Q16" i="7"/>
  <c r="O16" i="7"/>
  <c r="M16" i="7"/>
  <c r="K16" i="7"/>
  <c r="I16" i="7"/>
  <c r="G16" i="7"/>
  <c r="E16" i="7"/>
  <c r="C16" i="7"/>
  <c r="V15" i="7"/>
  <c r="W15" i="7" s="1"/>
  <c r="U15" i="7"/>
  <c r="S15" i="7"/>
  <c r="Q15" i="7"/>
  <c r="O15" i="7"/>
  <c r="M15" i="7"/>
  <c r="K15" i="7"/>
  <c r="I15" i="7"/>
  <c r="G15" i="7"/>
  <c r="E15" i="7"/>
  <c r="C15" i="7"/>
  <c r="V14" i="7"/>
  <c r="W14" i="7" s="1"/>
  <c r="U14" i="7"/>
  <c r="S14" i="7"/>
  <c r="Q14" i="7"/>
  <c r="O14" i="7"/>
  <c r="M14" i="7"/>
  <c r="K14" i="7"/>
  <c r="I14" i="7"/>
  <c r="G14" i="7"/>
  <c r="E14" i="7"/>
  <c r="C14" i="7"/>
  <c r="U10" i="7"/>
  <c r="S10" i="7"/>
  <c r="Q10" i="7"/>
  <c r="O10" i="7"/>
  <c r="M10" i="7"/>
  <c r="K10" i="7"/>
  <c r="I10" i="7"/>
  <c r="G10" i="7"/>
  <c r="E10" i="7"/>
  <c r="C10" i="7"/>
  <c r="V9" i="7"/>
  <c r="W9" i="7" s="1"/>
  <c r="U9" i="7"/>
  <c r="S9" i="7"/>
  <c r="Q9" i="7"/>
  <c r="O9" i="7"/>
  <c r="M9" i="7"/>
  <c r="K9" i="7"/>
  <c r="I9" i="7"/>
  <c r="G9" i="7"/>
  <c r="E9" i="7"/>
  <c r="C9" i="7"/>
  <c r="V8" i="7"/>
  <c r="W8" i="7" s="1"/>
  <c r="U8" i="7"/>
  <c r="S8" i="7"/>
  <c r="Q8" i="7"/>
  <c r="O8" i="7"/>
  <c r="M8" i="7"/>
  <c r="K8" i="7"/>
  <c r="I8" i="7"/>
  <c r="G8" i="7"/>
  <c r="E8" i="7"/>
  <c r="C8" i="7"/>
  <c r="V7" i="7"/>
  <c r="W7" i="7" s="1"/>
  <c r="U7" i="7"/>
  <c r="S7" i="7"/>
  <c r="Q7" i="7"/>
  <c r="O7" i="7"/>
  <c r="M7" i="7"/>
  <c r="K7" i="7"/>
  <c r="I7" i="7"/>
  <c r="G7" i="7"/>
  <c r="E7" i="7"/>
  <c r="C7" i="7"/>
  <c r="V6" i="7"/>
  <c r="W6" i="7" s="1"/>
  <c r="U6" i="7"/>
  <c r="S6" i="7"/>
  <c r="Q6" i="7"/>
  <c r="O6" i="7"/>
  <c r="M6" i="7"/>
  <c r="K6" i="7"/>
  <c r="I6" i="7"/>
  <c r="G6" i="7"/>
  <c r="E6" i="7"/>
  <c r="C6" i="7"/>
  <c r="V5" i="7"/>
  <c r="W5" i="7" s="1"/>
  <c r="U5" i="7"/>
  <c r="S5" i="7"/>
  <c r="Q5" i="7"/>
  <c r="O5" i="7"/>
  <c r="M5" i="7"/>
  <c r="K5" i="7"/>
  <c r="I5" i="7"/>
  <c r="G5" i="7"/>
  <c r="E5" i="7"/>
  <c r="C5" i="7"/>
  <c r="V4" i="7"/>
  <c r="W4" i="7" s="1"/>
  <c r="U4" i="7"/>
  <c r="S4" i="7"/>
  <c r="Q4" i="7"/>
  <c r="O4" i="7"/>
  <c r="M4" i="7"/>
  <c r="K4" i="7"/>
  <c r="I4" i="7"/>
  <c r="G4" i="7"/>
  <c r="E4" i="7"/>
  <c r="C4" i="7"/>
  <c r="V3" i="7"/>
  <c r="W3" i="7" s="1"/>
  <c r="U3" i="7"/>
  <c r="S3" i="7"/>
  <c r="Q3" i="7"/>
  <c r="O3" i="7"/>
  <c r="M3" i="7"/>
  <c r="K3" i="7"/>
  <c r="I3" i="7"/>
  <c r="G3" i="7"/>
  <c r="E3" i="7"/>
  <c r="C3" i="7"/>
</calcChain>
</file>

<file path=xl/sharedStrings.xml><?xml version="1.0" encoding="utf-8"?>
<sst xmlns="http://schemas.openxmlformats.org/spreadsheetml/2006/main" count="416" uniqueCount="173">
  <si>
    <t>일반</t>
    <phoneticPr fontId="1" type="noConversion"/>
  </si>
  <si>
    <t>라펠</t>
    <phoneticPr fontId="1" type="noConversion"/>
  </si>
  <si>
    <t>폭</t>
    <phoneticPr fontId="1" type="noConversion"/>
  </si>
  <si>
    <t>앞밑윗길이</t>
    <phoneticPr fontId="1" type="noConversion"/>
  </si>
  <si>
    <t>무릎둘레</t>
    <phoneticPr fontId="1" type="noConversion"/>
  </si>
  <si>
    <t>바지기장</t>
    <phoneticPr fontId="1" type="noConversion"/>
  </si>
  <si>
    <t>주문
내역</t>
    <phoneticPr fontId="1" type="noConversion"/>
  </si>
  <si>
    <t>완성일</t>
    <phoneticPr fontId="1" type="noConversion"/>
  </si>
  <si>
    <t>벌</t>
    <phoneticPr fontId="1" type="noConversion"/>
  </si>
  <si>
    <t>게이지복</t>
    <phoneticPr fontId="1" type="noConversion"/>
  </si>
  <si>
    <t>호</t>
    <phoneticPr fontId="1" type="noConversion"/>
  </si>
  <si>
    <t>원단명</t>
    <phoneticPr fontId="1" type="noConversion"/>
  </si>
  <si>
    <t>단추</t>
    <phoneticPr fontId="1" type="noConversion"/>
  </si>
  <si>
    <t>라펠세빠</t>
    <phoneticPr fontId="1" type="noConversion"/>
  </si>
  <si>
    <t>항목</t>
    <phoneticPr fontId="1" type="noConversion"/>
  </si>
  <si>
    <t>상의장</t>
    <phoneticPr fontId="1" type="noConversion"/>
  </si>
  <si>
    <t>어깨</t>
    <phoneticPr fontId="1" type="noConversion"/>
  </si>
  <si>
    <t>앞품</t>
    <phoneticPr fontId="1" type="noConversion"/>
  </si>
  <si>
    <t>뒤품</t>
    <phoneticPr fontId="1" type="noConversion"/>
  </si>
  <si>
    <t>상동</t>
    <phoneticPr fontId="1" type="noConversion"/>
  </si>
  <si>
    <t>중동</t>
    <phoneticPr fontId="1" type="noConversion"/>
  </si>
  <si>
    <t>하동</t>
    <phoneticPr fontId="1" type="noConversion"/>
  </si>
  <si>
    <t>소매
길이</t>
    <phoneticPr fontId="1" type="noConversion"/>
  </si>
  <si>
    <t>좌</t>
    <phoneticPr fontId="1" type="noConversion"/>
  </si>
  <si>
    <t>우</t>
    <phoneticPr fontId="1" type="noConversion"/>
  </si>
  <si>
    <t>소매통</t>
    <phoneticPr fontId="1" type="noConversion"/>
  </si>
  <si>
    <t>소매부리</t>
    <phoneticPr fontId="1" type="noConversion"/>
  </si>
  <si>
    <t>허리</t>
    <phoneticPr fontId="1" type="noConversion"/>
  </si>
  <si>
    <t>엉덩이둘레</t>
    <phoneticPr fontId="1" type="noConversion"/>
  </si>
  <si>
    <t>허벅둘레</t>
    <phoneticPr fontId="1" type="noConversion"/>
  </si>
  <si>
    <t>뒤밑윗길이</t>
    <phoneticPr fontId="1" type="noConversion"/>
  </si>
  <si>
    <t>바지부리</t>
    <phoneticPr fontId="1" type="noConversion"/>
  </si>
  <si>
    <t>학고</t>
    <phoneticPr fontId="1" type="noConversion"/>
  </si>
  <si>
    <t>팔모양</t>
    <phoneticPr fontId="1" type="noConversion"/>
  </si>
  <si>
    <t>키/몸무게</t>
    <phoneticPr fontId="1" type="noConversion"/>
  </si>
  <si>
    <t>호칭</t>
  </si>
  <si>
    <t>56B</t>
    <phoneticPr fontId="1" type="noConversion"/>
  </si>
  <si>
    <t>편차</t>
    <phoneticPr fontId="1" type="noConversion"/>
  </si>
  <si>
    <t>상의장</t>
  </si>
  <si>
    <t>어깨</t>
  </si>
  <si>
    <t>상동</t>
  </si>
  <si>
    <t>중동</t>
  </si>
  <si>
    <t>소매장</t>
  </si>
  <si>
    <t>소매통</t>
  </si>
  <si>
    <t>소매부리</t>
  </si>
  <si>
    <t>라펠</t>
  </si>
  <si>
    <t xml:space="preserve"> -</t>
    <phoneticPr fontId="1" type="noConversion"/>
  </si>
  <si>
    <t>링자켓</t>
    <phoneticPr fontId="1" type="noConversion"/>
  </si>
  <si>
    <t>클래식</t>
    <phoneticPr fontId="1" type="noConversion"/>
  </si>
  <si>
    <t>호칭</t>
    <phoneticPr fontId="1" type="noConversion"/>
  </si>
  <si>
    <t>상의장</t>
    <phoneticPr fontId="1" type="noConversion"/>
  </si>
  <si>
    <t>어깨</t>
    <phoneticPr fontId="1" type="noConversion"/>
  </si>
  <si>
    <t>상동</t>
    <phoneticPr fontId="1" type="noConversion"/>
  </si>
  <si>
    <t>중동</t>
    <phoneticPr fontId="1" type="noConversion"/>
  </si>
  <si>
    <t>소매장</t>
    <phoneticPr fontId="1" type="noConversion"/>
  </si>
  <si>
    <t>소매통</t>
    <phoneticPr fontId="1" type="noConversion"/>
  </si>
  <si>
    <t>소매부리</t>
    <phoneticPr fontId="1" type="noConversion"/>
  </si>
  <si>
    <t>허리</t>
  </si>
  <si>
    <t>힙</t>
  </si>
  <si>
    <t>앞길이</t>
  </si>
  <si>
    <t>뒷길이</t>
  </si>
  <si>
    <t>무릎</t>
  </si>
  <si>
    <t>부리</t>
  </si>
  <si>
    <t>기장</t>
    <phoneticPr fontId="1" type="noConversion"/>
  </si>
  <si>
    <t>허벅지</t>
  </si>
  <si>
    <t>허벅지</t>
    <phoneticPr fontId="1" type="noConversion"/>
  </si>
  <si>
    <t>SJ_1</t>
    <phoneticPr fontId="1" type="noConversion"/>
  </si>
  <si>
    <t>SJ_2</t>
    <phoneticPr fontId="1" type="noConversion"/>
  </si>
  <si>
    <t>SJ_3</t>
    <phoneticPr fontId="1" type="noConversion"/>
  </si>
  <si>
    <t>ISAIA바지_노턱</t>
    <phoneticPr fontId="1" type="noConversion"/>
  </si>
  <si>
    <t>클래식바지_원턱</t>
    <phoneticPr fontId="1" type="noConversion"/>
  </si>
  <si>
    <t>레귤러바지_노턱</t>
    <phoneticPr fontId="1" type="noConversion"/>
  </si>
  <si>
    <t>슬림바지_노턱</t>
    <phoneticPr fontId="1" type="noConversion"/>
  </si>
  <si>
    <t>슬림바지_원턱</t>
    <phoneticPr fontId="1" type="noConversion"/>
  </si>
  <si>
    <t>링자켓</t>
    <phoneticPr fontId="1" type="noConversion"/>
  </si>
  <si>
    <t>SJ_1</t>
    <phoneticPr fontId="1" type="noConversion"/>
  </si>
  <si>
    <t>56B</t>
    <phoneticPr fontId="1" type="noConversion"/>
  </si>
  <si>
    <t>SJ_2</t>
    <phoneticPr fontId="1" type="noConversion"/>
  </si>
  <si>
    <t>링자켓</t>
    <phoneticPr fontId="1" type="noConversion"/>
  </si>
  <si>
    <t>클래식</t>
    <phoneticPr fontId="1" type="noConversion"/>
  </si>
  <si>
    <t>SJ_3</t>
    <phoneticPr fontId="1" type="noConversion"/>
  </si>
  <si>
    <t>중동</t>
    <phoneticPr fontId="1" type="noConversion"/>
  </si>
  <si>
    <t>사선</t>
    <phoneticPr fontId="1" type="noConversion"/>
  </si>
  <si>
    <t>게이지복</t>
    <phoneticPr fontId="1" type="noConversion"/>
  </si>
  <si>
    <t>호</t>
    <phoneticPr fontId="1" type="noConversion"/>
  </si>
  <si>
    <t>원단</t>
    <phoneticPr fontId="1" type="noConversion"/>
  </si>
  <si>
    <t>무늬</t>
  </si>
  <si>
    <t>색상</t>
    <phoneticPr fontId="1" type="noConversion"/>
  </si>
  <si>
    <t>품     번</t>
    <phoneticPr fontId="1" type="noConversion"/>
  </si>
  <si>
    <t>개수</t>
    <phoneticPr fontId="1" type="noConversion"/>
  </si>
  <si>
    <t>방식</t>
    <phoneticPr fontId="1" type="noConversion"/>
  </si>
  <si>
    <t>소매단추</t>
    <phoneticPr fontId="1" type="noConversion"/>
  </si>
  <si>
    <t>뒤트임방식</t>
    <phoneticPr fontId="1" type="noConversion"/>
  </si>
  <si>
    <t>소매세빠</t>
    <phoneticPr fontId="1" type="noConversion"/>
  </si>
  <si>
    <t>안    감</t>
    <phoneticPr fontId="1" type="noConversion"/>
  </si>
  <si>
    <t>언   컨</t>
    <phoneticPr fontId="1" type="noConversion"/>
  </si>
  <si>
    <t>호    시</t>
    <phoneticPr fontId="1" type="noConversion"/>
  </si>
  <si>
    <t>플랩</t>
    <phoneticPr fontId="1" type="noConversion"/>
  </si>
  <si>
    <t>입술</t>
    <phoneticPr fontId="1" type="noConversion"/>
  </si>
  <si>
    <t>미니</t>
    <phoneticPr fontId="1" type="noConversion"/>
  </si>
  <si>
    <t>아웃</t>
    <phoneticPr fontId="1" type="noConversion"/>
  </si>
  <si>
    <t>라펠모양</t>
    <phoneticPr fontId="1" type="noConversion"/>
  </si>
  <si>
    <t>라펠</t>
    <phoneticPr fontId="1" type="noConversion"/>
  </si>
  <si>
    <t>싱글버튼</t>
    <phoneticPr fontId="1" type="noConversion"/>
  </si>
  <si>
    <t>더블버튼</t>
    <phoneticPr fontId="1" type="noConversion"/>
  </si>
  <si>
    <t>주머니</t>
    <phoneticPr fontId="1" type="noConversion"/>
  </si>
  <si>
    <t>어깨모양</t>
    <phoneticPr fontId="1" type="noConversion"/>
  </si>
  <si>
    <t>추가요청사항</t>
    <phoneticPr fontId="1" type="noConversion"/>
  </si>
  <si>
    <t>매 장 명</t>
    <phoneticPr fontId="1" type="noConversion"/>
  </si>
  <si>
    <t>고객명</t>
    <phoneticPr fontId="1" type="noConversion"/>
  </si>
  <si>
    <t>패턴선택</t>
    <phoneticPr fontId="1" type="noConversion"/>
  </si>
  <si>
    <t>가봉납품</t>
    <phoneticPr fontId="1" type="noConversion"/>
  </si>
  <si>
    <t>주문일</t>
    <phoneticPr fontId="1" type="noConversion"/>
  </si>
  <si>
    <t>가봉일</t>
    <phoneticPr fontId="1" type="noConversion"/>
  </si>
  <si>
    <t>패턴선택</t>
    <phoneticPr fontId="1" type="noConversion"/>
  </si>
  <si>
    <t>패드</t>
    <phoneticPr fontId="1" type="noConversion"/>
  </si>
  <si>
    <t>옵션</t>
    <phoneticPr fontId="1" type="noConversion"/>
  </si>
  <si>
    <t>비조길이</t>
    <phoneticPr fontId="1" type="noConversion"/>
  </si>
  <si>
    <t>하의 사이즈</t>
    <phoneticPr fontId="1" type="noConversion"/>
  </si>
  <si>
    <t>상의 사이즈</t>
    <phoneticPr fontId="1" type="noConversion"/>
  </si>
  <si>
    <t>노패드</t>
    <phoneticPr fontId="1" type="noConversion"/>
  </si>
  <si>
    <t>2MM</t>
    <phoneticPr fontId="1" type="noConversion"/>
  </si>
  <si>
    <t>4MM</t>
    <phoneticPr fontId="1" type="noConversion"/>
  </si>
  <si>
    <t>6MM</t>
    <phoneticPr fontId="1" type="noConversion"/>
  </si>
  <si>
    <t>8MM</t>
    <phoneticPr fontId="1" type="noConversion"/>
  </si>
  <si>
    <t>일반</t>
    <phoneticPr fontId="1" type="noConversion"/>
  </si>
  <si>
    <t>보카시</t>
    <phoneticPr fontId="1" type="noConversion"/>
  </si>
  <si>
    <t>카마치아</t>
    <phoneticPr fontId="1" type="noConversion"/>
  </si>
  <si>
    <t>신체</t>
    <phoneticPr fontId="1" type="noConversion"/>
  </si>
  <si>
    <t>수정</t>
    <phoneticPr fontId="1" type="noConversion"/>
  </si>
  <si>
    <t>완성(인치)</t>
    <phoneticPr fontId="1" type="noConversion"/>
  </si>
  <si>
    <t>완성(센치)</t>
    <phoneticPr fontId="1" type="noConversion"/>
  </si>
  <si>
    <t>품    번</t>
    <phoneticPr fontId="1" type="noConversion"/>
  </si>
  <si>
    <t>색  상</t>
    <phoneticPr fontId="1" type="noConversion"/>
  </si>
  <si>
    <t>무  늬</t>
    <phoneticPr fontId="1" type="noConversion"/>
  </si>
  <si>
    <t>앞코모양</t>
    <phoneticPr fontId="1" type="noConversion"/>
  </si>
  <si>
    <t>벨트고리</t>
    <phoneticPr fontId="1" type="noConversion"/>
  </si>
  <si>
    <t>앞주머니모양</t>
    <phoneticPr fontId="1" type="noConversion"/>
  </si>
  <si>
    <t>사이드어드저스트</t>
    <phoneticPr fontId="1" type="noConversion"/>
  </si>
  <si>
    <t>앞주름 수량</t>
    <phoneticPr fontId="1" type="noConversion"/>
  </si>
  <si>
    <t>뒷주머니단추</t>
    <phoneticPr fontId="1" type="noConversion"/>
  </si>
  <si>
    <t xml:space="preserve">카브라 </t>
    <phoneticPr fontId="1" type="noConversion"/>
  </si>
  <si>
    <t xml:space="preserve">         인치</t>
    <phoneticPr fontId="1" type="noConversion"/>
  </si>
  <si>
    <t>오비폭</t>
    <phoneticPr fontId="1" type="noConversion"/>
  </si>
  <si>
    <t>원단</t>
    <phoneticPr fontId="1" type="noConversion"/>
  </si>
  <si>
    <t>다리모양</t>
    <phoneticPr fontId="1" type="noConversion"/>
  </si>
  <si>
    <t>다리 체형</t>
    <phoneticPr fontId="1" type="noConversion"/>
  </si>
  <si>
    <t>sj2 신패턴</t>
    <phoneticPr fontId="1" type="noConversion"/>
  </si>
  <si>
    <t>연령대</t>
    <phoneticPr fontId="1" type="noConversion"/>
  </si>
  <si>
    <t>연락처</t>
    <phoneticPr fontId="1" type="noConversion"/>
  </si>
  <si>
    <t>상의</t>
    <phoneticPr fontId="1" type="noConversion"/>
  </si>
  <si>
    <t>벌</t>
    <phoneticPr fontId="1" type="noConversion"/>
  </si>
  <si>
    <t>하의</t>
    <phoneticPr fontId="1" type="noConversion"/>
  </si>
  <si>
    <t>조끼</t>
    <phoneticPr fontId="1" type="noConversion"/>
  </si>
  <si>
    <t>총장</t>
    <phoneticPr fontId="1" type="noConversion"/>
  </si>
  <si>
    <t>바르카</t>
    <phoneticPr fontId="1" type="noConversion"/>
  </si>
  <si>
    <t>4개</t>
    <phoneticPr fontId="1" type="noConversion"/>
  </si>
  <si>
    <t>겹</t>
    <phoneticPr fontId="1" type="noConversion"/>
  </si>
  <si>
    <t>삼각</t>
    <phoneticPr fontId="1" type="noConversion"/>
  </si>
  <si>
    <t xml:space="preserve"> 양쪽</t>
    <phoneticPr fontId="1" type="noConversion"/>
  </si>
  <si>
    <t>어깨
특이사항</t>
    <phoneticPr fontId="1" type="noConversion"/>
  </si>
  <si>
    <t>슈트에이전시(강남본점)</t>
    <phoneticPr fontId="1" type="noConversion"/>
  </si>
  <si>
    <r>
      <t xml:space="preserve"> </t>
    </r>
    <r>
      <rPr>
        <b/>
        <sz val="16"/>
        <color theme="1"/>
        <rFont val="맑은 고딕"/>
        <family val="3"/>
        <charset val="129"/>
        <scheme val="minor"/>
      </rPr>
      <t xml:space="preserve"> ★조끼       상동:
 (       )호     중동:
                  조끼장: </t>
    </r>
    <phoneticPr fontId="1" type="noConversion"/>
  </si>
  <si>
    <t xml:space="preserve">010    -              -       </t>
    <phoneticPr fontId="1" type="noConversion"/>
  </si>
  <si>
    <t xml:space="preserve">상동:
중동:
조끼장: </t>
    <phoneticPr fontId="1" type="noConversion"/>
  </si>
  <si>
    <t xml:space="preserve">  ★조끼
(       ) 호 </t>
    <phoneticPr fontId="1" type="noConversion"/>
  </si>
  <si>
    <t xml:space="preserve">                                                                                   </t>
    <phoneticPr fontId="1" type="noConversion"/>
  </si>
  <si>
    <t>cm</t>
    <phoneticPr fontId="1" type="noConversion"/>
  </si>
  <si>
    <t>덧   카라</t>
    <phoneticPr fontId="1" type="noConversion"/>
  </si>
  <si>
    <t>앞:             cm
뒤:             cm</t>
    <phoneticPr fontId="1" type="noConversion"/>
  </si>
  <si>
    <t>(      )버튼</t>
    <phoneticPr fontId="1" type="noConversion"/>
  </si>
  <si>
    <t>(     )버튼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</si>
  <si>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(옆)</t>
    </r>
    <r>
      <rPr>
        <b/>
        <sz val="16"/>
        <color rgb="FFFF0000"/>
        <rFont val="맑은 고딕"/>
        <family val="3"/>
        <charset val="129"/>
        <scheme val="minor"/>
      </rPr>
      <t xml:space="preserve">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</si>
</sst>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\ ?/8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rgb="FF0070C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u/>
      <sz val="28"/>
      <color theme="1"/>
      <name val="맑은 고딕"/>
      <family val="3"/>
      <charset val="129"/>
      <scheme val="minor"/>
    </font>
    <font>
      <b/>
      <sz val="28"/>
      <color rgb="FF7030A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rgb="FF0070C0"/>
      <name val="맑은 고딕"/>
      <family val="3"/>
      <charset val="129"/>
      <scheme val="minor"/>
    </font>
    <font>
      <b/>
      <sz val="22"/>
      <color rgb="FF0070C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color theme="4" tint="-0.249977111117893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5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8" fillId="0" borderId="1" xfId="0" applyFont="1" applyBorder="1" applyAlignment="1" applyProtection="1">
      <alignment horizontal="left" vertical="center" wrapText="1" indent="1"/>
      <protection locked="0"/>
    </xf>
    <xf numFmtId="0" fontId="8" fillId="0" borderId="2" xfId="0" applyFont="1" applyBorder="1" applyAlignment="1" applyProtection="1">
      <alignment horizontal="left" vertical="center" wrapText="1" indent="1"/>
      <protection locked="0"/>
    </xf>
    <xf numFmtId="0" fontId="8" fillId="0" borderId="4" xfId="0" applyFont="1" applyBorder="1" applyAlignment="1" applyProtection="1">
      <alignment horizontal="left" vertical="center" wrapText="1" indent="1"/>
      <protection locked="0"/>
    </xf>
    <xf numFmtId="0" fontId="8" fillId="0" borderId="0" xfId="0" applyFont="1" applyAlignment="1" applyProtection="1">
      <alignment horizontal="left" vertical="center" wrapText="1" indent="1"/>
      <protection locked="0"/>
    </xf>
    <xf numFmtId="0" fontId="0" fillId="0" borderId="4" xfId="0" applyBorder="1" applyProtection="1">
      <alignment vertical="center"/>
      <protection locked="0"/>
    </xf>
    <xf numFmtId="0" fontId="22" fillId="4" borderId="0" xfId="0" applyFont="1" applyFill="1">
      <alignment vertical="center"/>
    </xf>
    <xf numFmtId="0" fontId="23" fillId="4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3" xfId="0" applyFont="1" applyFill="1" applyBorder="1">
      <alignment vertical="center"/>
    </xf>
    <xf numFmtId="0" fontId="24" fillId="5" borderId="46" xfId="0" applyFont="1" applyFill="1" applyBorder="1">
      <alignment vertical="center"/>
    </xf>
    <xf numFmtId="0" fontId="25" fillId="0" borderId="9" xfId="0" applyFont="1" applyBorder="1" applyAlignment="1">
      <alignment horizontal="center" vertical="center" wrapText="1"/>
    </xf>
    <xf numFmtId="177" fontId="24" fillId="0" borderId="9" xfId="0" applyNumberFormat="1" applyFont="1" applyBorder="1">
      <alignment vertical="center"/>
    </xf>
    <xf numFmtId="0" fontId="25" fillId="6" borderId="9" xfId="0" applyFont="1" applyFill="1" applyBorder="1" applyAlignment="1">
      <alignment horizontal="center" vertical="center" wrapText="1"/>
    </xf>
    <xf numFmtId="177" fontId="24" fillId="7" borderId="9" xfId="0" applyNumberFormat="1" applyFont="1" applyFill="1" applyBorder="1">
      <alignment vertical="center"/>
    </xf>
    <xf numFmtId="0" fontId="25" fillId="0" borderId="46" xfId="0" applyFont="1" applyBorder="1" applyAlignment="1">
      <alignment horizontal="center" vertical="center" wrapText="1"/>
    </xf>
    <xf numFmtId="177" fontId="24" fillId="0" borderId="13" xfId="0" applyNumberFormat="1" applyFont="1" applyBorder="1">
      <alignment vertical="center"/>
    </xf>
    <xf numFmtId="177" fontId="24" fillId="0" borderId="9" xfId="0" applyNumberFormat="1" applyFont="1" applyBorder="1" applyAlignment="1">
      <alignment horizontal="center" vertical="center"/>
    </xf>
    <xf numFmtId="177" fontId="24" fillId="0" borderId="19" xfId="0" applyNumberFormat="1" applyFont="1" applyBorder="1">
      <alignment vertical="center"/>
    </xf>
    <xf numFmtId="177" fontId="24" fillId="3" borderId="9" xfId="0" applyNumberFormat="1" applyFont="1" applyFill="1" applyBorder="1">
      <alignment vertical="center"/>
    </xf>
    <xf numFmtId="0" fontId="22" fillId="8" borderId="0" xfId="0" applyFont="1" applyFill="1">
      <alignment vertical="center"/>
    </xf>
    <xf numFmtId="0" fontId="23" fillId="8" borderId="0" xfId="0" applyFont="1" applyFill="1">
      <alignment vertical="center"/>
    </xf>
    <xf numFmtId="0" fontId="24" fillId="6" borderId="13" xfId="0" applyFont="1" applyFill="1" applyBorder="1">
      <alignment vertical="center"/>
    </xf>
    <xf numFmtId="0" fontId="24" fillId="6" borderId="46" xfId="0" applyFont="1" applyFill="1" applyBorder="1">
      <alignment vertical="center"/>
    </xf>
    <xf numFmtId="0" fontId="22" fillId="9" borderId="0" xfId="0" applyFont="1" applyFill="1">
      <alignment vertical="center"/>
    </xf>
    <xf numFmtId="0" fontId="23" fillId="9" borderId="0" xfId="0" applyFont="1" applyFill="1">
      <alignment vertical="center"/>
    </xf>
    <xf numFmtId="0" fontId="24" fillId="5" borderId="42" xfId="0" applyFont="1" applyFill="1" applyBorder="1">
      <alignment vertical="center"/>
    </xf>
    <xf numFmtId="0" fontId="24" fillId="5" borderId="32" xfId="0" applyFont="1" applyFill="1" applyBorder="1">
      <alignment vertical="center"/>
    </xf>
    <xf numFmtId="0" fontId="24" fillId="5" borderId="34" xfId="0" applyFont="1" applyFill="1" applyBorder="1">
      <alignment vertical="center"/>
    </xf>
    <xf numFmtId="0" fontId="24" fillId="5" borderId="40" xfId="0" applyFont="1" applyFill="1" applyBorder="1">
      <alignment vertical="center"/>
    </xf>
    <xf numFmtId="0" fontId="26" fillId="0" borderId="9" xfId="0" applyFont="1" applyBorder="1" applyAlignment="1">
      <alignment horizontal="center" vertical="center" wrapText="1"/>
    </xf>
    <xf numFmtId="177" fontId="24" fillId="0" borderId="13" xfId="0" applyNumberFormat="1" applyFont="1" applyBorder="1" applyAlignment="1">
      <alignment horizontal="center" vertical="center"/>
    </xf>
    <xf numFmtId="0" fontId="26" fillId="10" borderId="18" xfId="0" applyFont="1" applyFill="1" applyBorder="1" applyAlignment="1">
      <alignment horizontal="center" vertical="center" wrapText="1"/>
    </xf>
    <xf numFmtId="177" fontId="24" fillId="10" borderId="19" xfId="0" applyNumberFormat="1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6" fillId="10" borderId="20" xfId="0" applyFont="1" applyFill="1" applyBorder="1" applyAlignment="1">
      <alignment horizontal="center" vertical="center" wrapText="1"/>
    </xf>
    <xf numFmtId="177" fontId="24" fillId="10" borderId="22" xfId="0" applyNumberFormat="1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2" fillId="11" borderId="0" xfId="0" applyFont="1" applyFill="1">
      <alignment vertical="center"/>
    </xf>
    <xf numFmtId="0" fontId="23" fillId="11" borderId="0" xfId="0" applyFont="1" applyFill="1">
      <alignment vertical="center"/>
    </xf>
    <xf numFmtId="0" fontId="24" fillId="5" borderId="1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/>
    </xf>
    <xf numFmtId="0" fontId="24" fillId="6" borderId="4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5" fillId="6" borderId="18" xfId="0" applyFont="1" applyFill="1" applyBorder="1" applyAlignment="1">
      <alignment horizontal="center" vertical="center" wrapText="1"/>
    </xf>
    <xf numFmtId="177" fontId="24" fillId="6" borderId="19" xfId="0" applyNumberFormat="1" applyFont="1" applyFill="1" applyBorder="1">
      <alignment vertical="center"/>
    </xf>
    <xf numFmtId="0" fontId="25" fillId="6" borderId="46" xfId="0" applyFont="1" applyFill="1" applyBorder="1" applyAlignment="1">
      <alignment horizontal="center" vertical="center" wrapText="1"/>
    </xf>
    <xf numFmtId="177" fontId="24" fillId="6" borderId="9" xfId="0" applyNumberFormat="1" applyFont="1" applyFill="1" applyBorder="1">
      <alignment vertical="center"/>
    </xf>
    <xf numFmtId="0" fontId="25" fillId="6" borderId="20" xfId="0" applyFont="1" applyFill="1" applyBorder="1" applyAlignment="1">
      <alignment horizontal="center" vertical="center" wrapText="1"/>
    </xf>
    <xf numFmtId="177" fontId="24" fillId="6" borderId="22" xfId="0" applyNumberFormat="1" applyFont="1" applyFill="1" applyBorder="1">
      <alignment vertical="center"/>
    </xf>
    <xf numFmtId="0" fontId="26" fillId="0" borderId="18" xfId="0" applyFont="1" applyBorder="1" applyAlignment="1">
      <alignment horizontal="center" vertical="center" wrapText="1"/>
    </xf>
    <xf numFmtId="0" fontId="26" fillId="10" borderId="9" xfId="0" applyFont="1" applyFill="1" applyBorder="1" applyAlignment="1">
      <alignment horizontal="center" vertical="center" wrapText="1"/>
    </xf>
    <xf numFmtId="177" fontId="24" fillId="10" borderId="9" xfId="0" applyNumberFormat="1" applyFont="1" applyFill="1" applyBorder="1">
      <alignment vertical="center"/>
    </xf>
    <xf numFmtId="0" fontId="26" fillId="0" borderId="20" xfId="0" applyFont="1" applyBorder="1" applyAlignment="1">
      <alignment horizontal="center" vertical="center" wrapText="1"/>
    </xf>
    <xf numFmtId="177" fontId="24" fillId="0" borderId="22" xfId="0" applyNumberFormat="1" applyFont="1" applyBorder="1">
      <alignment vertical="center"/>
    </xf>
    <xf numFmtId="0" fontId="25" fillId="0" borderId="20" xfId="0" applyFont="1" applyBorder="1" applyAlignment="1">
      <alignment horizontal="center" vertical="center" wrapText="1"/>
    </xf>
    <xf numFmtId="0" fontId="25" fillId="10" borderId="46" xfId="0" applyFont="1" applyFill="1" applyBorder="1" applyAlignment="1">
      <alignment horizontal="center" vertical="center" wrapText="1"/>
    </xf>
    <xf numFmtId="0" fontId="22" fillId="12" borderId="0" xfId="0" applyFont="1" applyFill="1">
      <alignment vertical="center"/>
    </xf>
    <xf numFmtId="0" fontId="23" fillId="12" borderId="0" xfId="0" applyFont="1" applyFill="1">
      <alignment vertical="center"/>
    </xf>
    <xf numFmtId="0" fontId="24" fillId="5" borderId="0" xfId="0" applyFont="1" applyFill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7" fontId="24" fillId="0" borderId="0" xfId="0" applyNumberFormat="1" applyFont="1">
      <alignment vertical="center"/>
    </xf>
    <xf numFmtId="177" fontId="24" fillId="0" borderId="0" xfId="0" applyNumberFormat="1" applyFont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 wrapText="1"/>
    </xf>
    <xf numFmtId="0" fontId="26" fillId="10" borderId="41" xfId="0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>
      <alignment vertical="center"/>
    </xf>
    <xf numFmtId="0" fontId="19" fillId="0" borderId="7" xfId="0" applyFont="1" applyBorder="1" applyProtection="1">
      <alignment vertic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2" xfId="0" applyFont="1" applyBorder="1" applyProtection="1">
      <alignment vertical="center"/>
      <protection locked="0"/>
    </xf>
    <xf numFmtId="0" fontId="19" fillId="0" borderId="3" xfId="0" applyFon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0" fontId="19" fillId="0" borderId="0" xfId="0" applyFont="1">
      <alignment vertical="center"/>
    </xf>
    <xf numFmtId="0" fontId="21" fillId="0" borderId="0" xfId="0" applyFont="1" applyAlignment="1" applyProtection="1">
      <alignment vertical="center" wrapText="1"/>
      <protection locked="0"/>
    </xf>
    <xf numFmtId="0" fontId="2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3" xfId="0" applyFont="1" applyBorder="1" applyAlignment="1" applyProtection="1">
      <alignment horizontal="center" vertical="center"/>
      <protection locked="0"/>
    </xf>
    <xf numFmtId="0" fontId="36" fillId="0" borderId="6" xfId="0" applyFont="1" applyBorder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center" vertical="center"/>
      <protection locked="0"/>
    </xf>
    <xf numFmtId="0" fontId="36" fillId="0" borderId="8" xfId="0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7" fillId="2" borderId="1" xfId="0" applyFont="1" applyFill="1" applyBorder="1" applyAlignment="1" applyProtection="1">
      <alignment horizontal="center" vertical="center"/>
      <protection locked="0"/>
    </xf>
    <xf numFmtId="0" fontId="37" fillId="2" borderId="2" xfId="0" applyFont="1" applyFill="1" applyBorder="1" applyAlignment="1" applyProtection="1">
      <alignment horizontal="center" vertical="center"/>
      <protection locked="0"/>
    </xf>
    <xf numFmtId="0" fontId="37" fillId="2" borderId="3" xfId="0" applyFont="1" applyFill="1" applyBorder="1" applyAlignment="1" applyProtection="1">
      <alignment horizontal="center" vertical="center"/>
      <protection locked="0"/>
    </xf>
    <xf numFmtId="0" fontId="37" fillId="2" borderId="6" xfId="0" applyFont="1" applyFill="1" applyBorder="1" applyAlignment="1" applyProtection="1">
      <alignment horizontal="center" vertical="center"/>
      <protection locked="0"/>
    </xf>
    <xf numFmtId="0" fontId="37" fillId="2" borderId="7" xfId="0" applyFont="1" applyFill="1" applyBorder="1" applyAlignment="1" applyProtection="1">
      <alignment horizontal="center" vertical="center"/>
      <protection locked="0"/>
    </xf>
    <xf numFmtId="0" fontId="37" fillId="2" borderId="8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9" fillId="0" borderId="2" xfId="0" applyFont="1" applyBorder="1" applyAlignment="1" applyProtection="1">
      <alignment horizontal="left" vertical="top" wrapText="1"/>
      <protection locked="0"/>
    </xf>
    <xf numFmtId="0" fontId="9" fillId="0" borderId="3" xfId="0" applyFont="1" applyBorder="1" applyAlignment="1" applyProtection="1">
      <alignment horizontal="left" vertical="top" wrapText="1"/>
      <protection locked="0"/>
    </xf>
    <xf numFmtId="0" fontId="9" fillId="0" borderId="4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5" xfId="0" applyFont="1" applyBorder="1" applyAlignment="1" applyProtection="1">
      <alignment horizontal="left" vertical="top" wrapText="1"/>
      <protection locked="0"/>
    </xf>
    <xf numFmtId="0" fontId="9" fillId="0" borderId="6" xfId="0" applyFont="1" applyBorder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9" fillId="0" borderId="8" xfId="0" applyFont="1" applyBorder="1" applyAlignment="1" applyProtection="1">
      <alignment horizontal="left" vertical="top" wrapText="1"/>
      <protection locked="0"/>
    </xf>
    <xf numFmtId="0" fontId="31" fillId="0" borderId="1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 applyProtection="1">
      <alignment horizontal="center" vertical="center"/>
      <protection locked="0"/>
    </xf>
    <xf numFmtId="0" fontId="39" fillId="0" borderId="3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14" fontId="9" fillId="0" borderId="3" xfId="0" applyNumberFormat="1" applyFont="1" applyBorder="1" applyAlignment="1" applyProtection="1">
      <alignment horizontal="center" vertical="center"/>
      <protection locked="0"/>
    </xf>
    <xf numFmtId="14" fontId="9" fillId="0" borderId="6" xfId="0" applyNumberFormat="1" applyFont="1" applyBorder="1" applyAlignment="1" applyProtection="1">
      <alignment horizontal="center" vertical="center"/>
      <protection locked="0"/>
    </xf>
    <xf numFmtId="14" fontId="9" fillId="0" borderId="7" xfId="0" applyNumberFormat="1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34" fillId="0" borderId="1" xfId="0" applyNumberFormat="1" applyFont="1" applyBorder="1" applyAlignment="1" applyProtection="1">
      <alignment horizontal="center" vertical="center" wrapText="1"/>
      <protection locked="0"/>
    </xf>
    <xf numFmtId="14" fontId="34" fillId="0" borderId="2" xfId="0" applyNumberFormat="1" applyFont="1" applyBorder="1" applyAlignment="1" applyProtection="1">
      <alignment horizontal="center" vertical="center" wrapText="1"/>
      <protection locked="0"/>
    </xf>
    <xf numFmtId="14" fontId="34" fillId="0" borderId="6" xfId="0" applyNumberFormat="1" applyFont="1" applyBorder="1" applyAlignment="1" applyProtection="1">
      <alignment horizontal="center" vertical="center" wrapText="1"/>
      <protection locked="0"/>
    </xf>
    <xf numFmtId="14" fontId="34" fillId="0" borderId="7" xfId="0" applyNumberFormat="1" applyFont="1" applyBorder="1" applyAlignment="1" applyProtection="1">
      <alignment horizontal="center" vertical="center" wrapText="1"/>
      <protection locked="0"/>
    </xf>
    <xf numFmtId="14" fontId="34" fillId="0" borderId="3" xfId="0" applyNumberFormat="1" applyFont="1" applyBorder="1" applyAlignment="1" applyProtection="1">
      <alignment horizontal="center" vertical="center" wrapText="1"/>
      <protection locked="0"/>
    </xf>
    <xf numFmtId="14" fontId="34" fillId="0" borderId="8" xfId="0" applyNumberFormat="1" applyFont="1" applyBorder="1" applyAlignment="1" applyProtection="1">
      <alignment horizontal="center" vertical="center" wrapText="1"/>
      <protection locked="0"/>
    </xf>
    <xf numFmtId="0" fontId="17" fillId="2" borderId="5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14" fontId="38" fillId="0" borderId="2" xfId="0" applyNumberFormat="1" applyFont="1" applyBorder="1" applyAlignment="1" applyProtection="1">
      <alignment horizontal="center" vertical="center"/>
      <protection locked="0"/>
    </xf>
    <xf numFmtId="14" fontId="38" fillId="0" borderId="3" xfId="0" applyNumberFormat="1" applyFont="1" applyBorder="1" applyAlignment="1" applyProtection="1">
      <alignment horizontal="center" vertical="center"/>
      <protection locked="0"/>
    </xf>
    <xf numFmtId="14" fontId="38" fillId="0" borderId="7" xfId="0" applyNumberFormat="1" applyFont="1" applyBorder="1" applyAlignment="1" applyProtection="1">
      <alignment horizontal="center" vertical="center"/>
      <protection locked="0"/>
    </xf>
    <xf numFmtId="14" fontId="38" fillId="0" borderId="8" xfId="0" applyNumberFormat="1" applyFont="1" applyBorder="1" applyAlignment="1" applyProtection="1">
      <alignment horizontal="center" vertical="center"/>
      <protection locked="0"/>
    </xf>
    <xf numFmtId="0" fontId="19" fillId="0" borderId="37" xfId="0" applyFont="1" applyBorder="1" applyAlignment="1" applyProtection="1">
      <alignment horizontal="center" vertical="center"/>
      <protection locked="0"/>
    </xf>
    <xf numFmtId="0" fontId="19" fillId="0" borderId="38" xfId="0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43" fillId="0" borderId="9" xfId="0" applyFont="1" applyBorder="1" applyAlignment="1" applyProtection="1">
      <alignment horizontal="right" vertical="center"/>
      <protection locked="0"/>
    </xf>
    <xf numFmtId="0" fontId="19" fillId="0" borderId="9" xfId="0" applyFont="1" applyBorder="1" applyAlignment="1" applyProtection="1">
      <alignment horizontal="right" vertical="center"/>
      <protection locked="0"/>
    </xf>
    <xf numFmtId="0" fontId="19" fillId="0" borderId="19" xfId="0" applyFont="1" applyBorder="1" applyAlignment="1" applyProtection="1">
      <alignment horizontal="right" vertical="center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9" fillId="0" borderId="28" xfId="0" applyFont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29" xfId="0" applyFont="1" applyBorder="1" applyAlignment="1" applyProtection="1">
      <alignment horizontal="center" vertical="center"/>
      <protection locked="0"/>
    </xf>
    <xf numFmtId="0" fontId="44" fillId="0" borderId="9" xfId="0" applyFont="1" applyBorder="1" applyAlignment="1" applyProtection="1">
      <alignment horizontal="right" vertical="center"/>
      <protection locked="0"/>
    </xf>
    <xf numFmtId="0" fontId="44" fillId="0" borderId="19" xfId="0" applyFont="1" applyBorder="1" applyAlignment="1" applyProtection="1">
      <alignment horizontal="right" vertical="center"/>
      <protection locked="0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9" fillId="0" borderId="21" xfId="0" applyFont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4" fillId="0" borderId="18" xfId="0" applyFont="1" applyBorder="1" applyAlignment="1" applyProtection="1">
      <alignment horizontal="center" vertical="center"/>
      <protection locked="0"/>
    </xf>
    <xf numFmtId="0" fontId="34" fillId="0" borderId="9" xfId="0" applyFont="1" applyBorder="1" applyAlignment="1" applyProtection="1">
      <alignment horizontal="center" vertical="center"/>
      <protection locked="0"/>
    </xf>
    <xf numFmtId="0" fontId="34" fillId="0" borderId="19" xfId="0" applyFont="1" applyBorder="1" applyAlignment="1" applyProtection="1">
      <alignment horizontal="center" vertical="center"/>
      <protection locked="0"/>
    </xf>
    <xf numFmtId="0" fontId="34" fillId="0" borderId="20" xfId="0" applyFont="1" applyBorder="1" applyAlignment="1" applyProtection="1">
      <alignment horizontal="center" vertical="center"/>
      <protection locked="0"/>
    </xf>
    <xf numFmtId="0" fontId="34" fillId="0" borderId="21" xfId="0" applyFont="1" applyBorder="1" applyAlignment="1" applyProtection="1">
      <alignment horizontal="center" vertical="center"/>
      <protection locked="0"/>
    </xf>
    <xf numFmtId="0" fontId="34" fillId="0" borderId="22" xfId="0" applyFont="1" applyBorder="1" applyAlignment="1" applyProtection="1">
      <alignment horizontal="center" vertical="center"/>
      <protection locked="0"/>
    </xf>
    <xf numFmtId="0" fontId="29" fillId="2" borderId="23" xfId="0" applyFont="1" applyFill="1" applyBorder="1" applyAlignment="1">
      <alignment horizontal="center" vertical="center"/>
    </xf>
    <xf numFmtId="0" fontId="29" fillId="2" borderId="24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19" fillId="0" borderId="44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0" fontId="19" fillId="0" borderId="47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4" fillId="0" borderId="4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left" vertical="center"/>
      <protection locked="0"/>
    </xf>
    <xf numFmtId="12" fontId="19" fillId="0" borderId="37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31" fillId="0" borderId="0" xfId="0" applyFont="1" applyAlignment="1" applyProtection="1">
      <alignment vertical="center" wrapText="1"/>
      <protection locked="0"/>
    </xf>
    <xf numFmtId="0" fontId="0" fillId="0" borderId="0" xfId="0">
      <alignment vertical="center"/>
    </xf>
    <xf numFmtId="0" fontId="20" fillId="0" borderId="52" xfId="0" applyFont="1" applyBorder="1" applyAlignment="1">
      <alignment horizontal="center" vertical="center" wrapText="1"/>
    </xf>
    <xf numFmtId="0" fontId="14" fillId="2" borderId="52" xfId="0" applyFont="1" applyFill="1" applyBorder="1" applyAlignment="1">
      <alignment horizontal="center" vertical="center" wrapText="1"/>
    </xf>
    <xf numFmtId="0" fontId="38" fillId="0" borderId="52" xfId="0" applyFont="1" applyBorder="1" applyAlignment="1">
      <alignment horizontal="left" vertical="center"/>
    </xf>
    <xf numFmtId="0" fontId="31" fillId="2" borderId="52" xfId="0" applyFont="1" applyFill="1" applyBorder="1" applyAlignment="1">
      <alignment horizontal="center" vertical="center"/>
    </xf>
    <xf numFmtId="0" fontId="10" fillId="0" borderId="52" xfId="0" applyFont="1" applyBorder="1" applyAlignment="1" applyProtection="1">
      <alignment horizontal="center" vertical="center"/>
      <protection locked="0"/>
    </xf>
    <xf numFmtId="14" fontId="19" fillId="0" borderId="1" xfId="0" applyNumberFormat="1" applyFont="1" applyBorder="1" applyAlignment="1" applyProtection="1">
      <alignment horizontal="center" vertical="center"/>
      <protection locked="0"/>
    </xf>
    <xf numFmtId="14" fontId="19" fillId="0" borderId="2" xfId="0" applyNumberFormat="1" applyFont="1" applyBorder="1" applyAlignment="1" applyProtection="1">
      <alignment horizontal="center" vertical="center"/>
      <protection locked="0"/>
    </xf>
    <xf numFmtId="14" fontId="19" fillId="0" borderId="6" xfId="0" applyNumberFormat="1" applyFont="1" applyBorder="1" applyAlignment="1" applyProtection="1">
      <alignment horizontal="center" vertical="center"/>
      <protection locked="0"/>
    </xf>
    <xf numFmtId="14" fontId="19" fillId="0" borderId="7" xfId="0" applyNumberFormat="1" applyFont="1" applyBorder="1" applyAlignment="1" applyProtection="1">
      <alignment horizontal="center" vertical="center"/>
      <protection locked="0"/>
    </xf>
    <xf numFmtId="0" fontId="31" fillId="2" borderId="47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27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21" fillId="2" borderId="16" xfId="0" applyFont="1" applyFill="1" applyBorder="1" applyAlignment="1">
      <alignment horizontal="center" vertical="center"/>
    </xf>
    <xf numFmtId="0" fontId="27" fillId="2" borderId="5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9" fillId="0" borderId="52" xfId="0" applyFont="1" applyBorder="1" applyAlignment="1" applyProtection="1">
      <alignment horizontal="center" vertical="center"/>
      <protection locked="0"/>
    </xf>
    <xf numFmtId="0" fontId="21" fillId="2" borderId="30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11" fillId="0" borderId="52" xfId="0" applyFont="1" applyBorder="1" applyAlignment="1" applyProtection="1">
      <alignment horizontal="center" vertical="top"/>
      <protection locked="0"/>
    </xf>
    <xf numFmtId="0" fontId="32" fillId="0" borderId="52" xfId="0" applyFont="1" applyBorder="1" applyAlignment="1" applyProtection="1">
      <alignment horizontal="center" vertical="top"/>
      <protection locked="0"/>
    </xf>
    <xf numFmtId="0" fontId="12" fillId="0" borderId="52" xfId="0" applyFont="1" applyBorder="1" applyAlignment="1" applyProtection="1">
      <alignment horizontal="center" vertical="top"/>
      <protection locked="0"/>
    </xf>
    <xf numFmtId="0" fontId="13" fillId="0" borderId="52" xfId="0" applyFont="1" applyBorder="1" applyAlignment="1" applyProtection="1">
      <alignment horizontal="center" vertical="top"/>
      <protection locked="0"/>
    </xf>
    <xf numFmtId="14" fontId="9" fillId="0" borderId="52" xfId="0" applyNumberFormat="1" applyFont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34" fillId="0" borderId="55" xfId="0" applyFont="1" applyBorder="1" applyAlignment="1" applyProtection="1">
      <alignment horizontal="center" vertical="center" wrapText="1"/>
      <protection locked="0"/>
    </xf>
    <xf numFmtId="0" fontId="34" fillId="0" borderId="57" xfId="0" applyFont="1" applyBorder="1" applyAlignment="1" applyProtection="1">
      <alignment horizontal="center" vertical="center" wrapText="1"/>
      <protection locked="0"/>
    </xf>
    <xf numFmtId="0" fontId="33" fillId="0" borderId="54" xfId="0" applyFont="1" applyBorder="1" applyAlignment="1" applyProtection="1">
      <alignment horizontal="center" vertical="center"/>
      <protection locked="0"/>
    </xf>
    <xf numFmtId="0" fontId="33" fillId="0" borderId="56" xfId="0" applyFont="1" applyBorder="1" applyAlignment="1" applyProtection="1">
      <alignment horizontal="center" vertical="center"/>
      <protection locked="0"/>
    </xf>
    <xf numFmtId="0" fontId="33" fillId="2" borderId="54" xfId="0" applyFont="1" applyFill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41" fillId="0" borderId="0" xfId="0" applyFont="1" applyAlignment="1">
      <alignment vertical="center" wrapText="1"/>
    </xf>
    <xf numFmtId="0" fontId="29" fillId="0" borderId="18" xfId="0" applyFont="1" applyBorder="1" applyAlignment="1" applyProtection="1">
      <alignment horizontal="center" vertical="center" wrapText="1"/>
      <protection locked="0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31" fillId="0" borderId="9" xfId="0" applyFont="1" applyBorder="1" applyAlignment="1" applyProtection="1">
      <alignment horizontal="center" vertical="center"/>
      <protection locked="0"/>
    </xf>
    <xf numFmtId="0" fontId="40" fillId="0" borderId="9" xfId="0" applyFont="1" applyBorder="1" applyAlignment="1" applyProtection="1">
      <alignment horizontal="center" vertical="center"/>
      <protection locked="0"/>
    </xf>
    <xf numFmtId="0" fontId="40" fillId="0" borderId="19" xfId="0" applyFont="1" applyBorder="1" applyAlignment="1" applyProtection="1">
      <alignment horizontal="center" vertical="center"/>
      <protection locked="0"/>
    </xf>
    <xf numFmtId="0" fontId="40" fillId="0" borderId="21" xfId="0" applyFont="1" applyBorder="1" applyAlignment="1" applyProtection="1">
      <alignment horizontal="center" vertical="center"/>
      <protection locked="0"/>
    </xf>
    <xf numFmtId="0" fontId="40" fillId="0" borderId="22" xfId="0" applyFont="1" applyBorder="1" applyAlignment="1" applyProtection="1">
      <alignment horizontal="center" vertical="center"/>
      <protection locked="0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30" fillId="2" borderId="54" xfId="0" applyFont="1" applyFill="1" applyBorder="1" applyAlignment="1" applyProtection="1">
      <alignment horizontal="center" vertical="center"/>
      <protection locked="0"/>
    </xf>
    <xf numFmtId="0" fontId="30" fillId="2" borderId="56" xfId="0" applyFont="1" applyFill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4" fillId="0" borderId="52" xfId="0" applyFont="1" applyBorder="1" applyAlignment="1">
      <alignment horizontal="center" vertical="center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58" xfId="0" applyFont="1" applyBorder="1" applyAlignment="1" applyProtection="1">
      <alignment horizontal="center" vertical="center"/>
      <protection locked="0"/>
    </xf>
    <xf numFmtId="0" fontId="31" fillId="0" borderId="18" xfId="0" applyFont="1" applyBorder="1" applyAlignment="1" applyProtection="1">
      <alignment horizontal="center" vertical="center"/>
      <protection locked="0"/>
    </xf>
    <xf numFmtId="0" fontId="40" fillId="0" borderId="20" xfId="0" applyFont="1" applyBorder="1" applyAlignment="1" applyProtection="1">
      <alignment horizontal="center" vertical="center"/>
      <protection locked="0"/>
    </xf>
    <xf numFmtId="0" fontId="29" fillId="2" borderId="15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4" fillId="0" borderId="50" xfId="0" applyFont="1" applyBorder="1" applyAlignment="1" applyProtection="1">
      <alignment horizontal="center" vertical="center"/>
      <protection locked="0"/>
    </xf>
    <xf numFmtId="0" fontId="19" fillId="0" borderId="59" xfId="0" applyFont="1" applyBorder="1" applyAlignment="1" applyProtection="1">
      <alignment horizontal="center" vertical="center"/>
      <protection locked="0"/>
    </xf>
    <xf numFmtId="0" fontId="19" fillId="0" borderId="50" xfId="0" applyFont="1" applyBorder="1" applyAlignment="1" applyProtection="1">
      <alignment horizontal="center" vertical="center"/>
      <protection locked="0"/>
    </xf>
    <xf numFmtId="0" fontId="45" fillId="0" borderId="59" xfId="0" applyFont="1" applyBorder="1" applyAlignment="1" applyProtection="1">
      <alignment horizontal="center" vertical="center"/>
      <protection locked="0"/>
    </xf>
    <xf numFmtId="0" fontId="19" fillId="0" borderId="49" xfId="0" applyFont="1" applyBorder="1" applyAlignment="1" applyProtection="1">
      <alignment horizontal="center" vertical="center"/>
      <protection locked="0"/>
    </xf>
    <xf numFmtId="0" fontId="19" fillId="0" borderId="57" xfId="0" applyFont="1" applyBorder="1" applyAlignment="1" applyProtection="1">
      <alignment horizontal="center" vertical="center"/>
      <protection locked="0"/>
    </xf>
    <xf numFmtId="0" fontId="4" fillId="2" borderId="4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4" fillId="0" borderId="52" xfId="0" applyFont="1" applyBorder="1" applyAlignment="1" applyProtection="1">
      <alignment horizontal="center" vertical="center" wrapText="1"/>
      <protection locked="0"/>
    </xf>
    <xf numFmtId="0" fontId="4" fillId="0" borderId="52" xfId="0" applyFont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29" fillId="2" borderId="2" xfId="0" applyFont="1" applyFill="1" applyBorder="1" applyAlignment="1" applyProtection="1">
      <alignment horizontal="center" vertical="center"/>
      <protection locked="0"/>
    </xf>
    <xf numFmtId="0" fontId="29" fillId="2" borderId="6" xfId="0" applyFont="1" applyFill="1" applyBorder="1" applyAlignment="1" applyProtection="1">
      <alignment horizontal="center" vertical="center"/>
      <protection locked="0"/>
    </xf>
    <xf numFmtId="0" fontId="29" fillId="2" borderId="7" xfId="0" applyFont="1" applyFill="1" applyBorder="1" applyAlignment="1" applyProtection="1">
      <alignment horizontal="center" vertical="center"/>
      <protection locked="0"/>
    </xf>
    <xf numFmtId="0" fontId="42" fillId="0" borderId="2" xfId="0" applyFont="1" applyBorder="1" applyAlignment="1" applyProtection="1">
      <alignment horizontal="left" vertical="center" wrapText="1"/>
      <protection locked="0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19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 wrapText="1"/>
      <protection locked="0"/>
    </xf>
    <xf numFmtId="0" fontId="35" fillId="0" borderId="21" xfId="0" applyFont="1" applyBorder="1" applyAlignment="1" applyProtection="1">
      <alignment horizontal="center" vertical="center" wrapText="1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36" fillId="0" borderId="44" xfId="0" applyFont="1" applyBorder="1" applyAlignment="1" applyProtection="1">
      <alignment horizontal="center" vertical="center"/>
      <protection locked="0"/>
    </xf>
    <xf numFmtId="0" fontId="36" fillId="0" borderId="38" xfId="0" applyFont="1" applyBorder="1" applyAlignment="1" applyProtection="1">
      <alignment horizontal="center" vertical="center"/>
      <protection locked="0"/>
    </xf>
    <xf numFmtId="0" fontId="36" fillId="0" borderId="39" xfId="0" applyFont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9524</xdr:colOff>
      <xdr:row>57</xdr:row>
      <xdr:rowOff>161924</xdr:rowOff>
    </xdr:from>
    <xdr:to>
      <xdr:col>51</xdr:col>
      <xdr:colOff>9524</xdr:colOff>
      <xdr:row>65</xdr:row>
      <xdr:rowOff>230288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4" y="11544299"/>
          <a:ext cx="2600325" cy="1954315"/>
        </a:xfrm>
        <a:prstGeom prst="rect">
          <a:avLst/>
        </a:prstGeom>
      </xdr:spPr>
    </xdr:pic>
    <xdr:clientData/>
  </xdr:twoCellAnchor>
  <xdr:twoCellAnchor>
    <xdr:from>
      <xdr:col>43</xdr:col>
      <xdr:colOff>152401</xdr:colOff>
      <xdr:row>59</xdr:row>
      <xdr:rowOff>19050</xdr:rowOff>
    </xdr:from>
    <xdr:to>
      <xdr:col>44</xdr:col>
      <xdr:colOff>142876</xdr:colOff>
      <xdr:row>59</xdr:row>
      <xdr:rowOff>228600</xdr:rowOff>
    </xdr:to>
    <xdr:sp macro="" textlink="">
      <xdr:nvSpPr>
        <xdr:cNvPr id="8" name="타원 125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9001126" y="118014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28575</xdr:colOff>
      <xdr:row>59</xdr:row>
      <xdr:rowOff>66677</xdr:rowOff>
    </xdr:from>
    <xdr:to>
      <xdr:col>43</xdr:col>
      <xdr:colOff>190500</xdr:colOff>
      <xdr:row>59</xdr:row>
      <xdr:rowOff>114300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 bwMode="auto">
        <a:xfrm>
          <a:off x="6877050" y="11849102"/>
          <a:ext cx="2162175" cy="47623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95250</xdr:colOff>
      <xdr:row>66</xdr:row>
      <xdr:rowOff>190500</xdr:rowOff>
    </xdr:from>
    <xdr:to>
      <xdr:col>51</xdr:col>
      <xdr:colOff>28575</xdr:colOff>
      <xdr:row>72</xdr:row>
      <xdr:rowOff>83532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13706475"/>
          <a:ext cx="2733675" cy="1378933"/>
        </a:xfrm>
        <a:prstGeom prst="rect">
          <a:avLst/>
        </a:prstGeom>
      </xdr:spPr>
    </xdr:pic>
    <xdr:clientData/>
  </xdr:twoCellAnchor>
  <xdr:twoCellAnchor>
    <xdr:from>
      <xdr:col>46</xdr:col>
      <xdr:colOff>19051</xdr:colOff>
      <xdr:row>60</xdr:row>
      <xdr:rowOff>76200</xdr:rowOff>
    </xdr:from>
    <xdr:to>
      <xdr:col>47</xdr:col>
      <xdr:colOff>9526</xdr:colOff>
      <xdr:row>61</xdr:row>
      <xdr:rowOff>38100</xdr:rowOff>
    </xdr:to>
    <xdr:sp macro="" textlink="">
      <xdr:nvSpPr>
        <xdr:cNvPr id="45" name="타원 125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>
          <a:spLocks noChangeArrowheads="1"/>
        </xdr:cNvSpPr>
      </xdr:nvSpPr>
      <xdr:spPr bwMode="auto">
        <a:xfrm>
          <a:off x="9467851" y="121062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47</xdr:col>
      <xdr:colOff>38100</xdr:colOff>
      <xdr:row>59</xdr:row>
      <xdr:rowOff>114300</xdr:rowOff>
    </xdr:from>
    <xdr:to>
      <xdr:col>56</xdr:col>
      <xdr:colOff>0</xdr:colOff>
      <xdr:row>60</xdr:row>
      <xdr:rowOff>142875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 bwMode="auto">
        <a:xfrm flipH="1">
          <a:off x="9686925" y="11896725"/>
          <a:ext cx="1762125" cy="27622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47626</xdr:colOff>
      <xdr:row>70</xdr:row>
      <xdr:rowOff>190500</xdr:rowOff>
    </xdr:from>
    <xdr:to>
      <xdr:col>49</xdr:col>
      <xdr:colOff>38101</xdr:colOff>
      <xdr:row>71</xdr:row>
      <xdr:rowOff>152400</xdr:rowOff>
    </xdr:to>
    <xdr:sp macro="" textlink="">
      <xdr:nvSpPr>
        <xdr:cNvPr id="49" name="타원 125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Arrowheads="1"/>
        </xdr:cNvSpPr>
      </xdr:nvSpPr>
      <xdr:spPr bwMode="auto">
        <a:xfrm>
          <a:off x="9896476" y="146970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49</xdr:col>
      <xdr:colOff>57150</xdr:colOff>
      <xdr:row>68</xdr:row>
      <xdr:rowOff>133350</xdr:rowOff>
    </xdr:from>
    <xdr:to>
      <xdr:col>55</xdr:col>
      <xdr:colOff>190500</xdr:colOff>
      <xdr:row>70</xdr:row>
      <xdr:rowOff>238125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 bwMode="auto">
        <a:xfrm flipH="1">
          <a:off x="10106025" y="14144625"/>
          <a:ext cx="1333500" cy="60007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161926</xdr:colOff>
      <xdr:row>61</xdr:row>
      <xdr:rowOff>47625</xdr:rowOff>
    </xdr:from>
    <xdr:to>
      <xdr:col>39</xdr:col>
      <xdr:colOff>152401</xdr:colOff>
      <xdr:row>62</xdr:row>
      <xdr:rowOff>9525</xdr:rowOff>
    </xdr:to>
    <xdr:sp macro="" textlink="">
      <xdr:nvSpPr>
        <xdr:cNvPr id="53" name="타원 125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Arrowheads="1"/>
        </xdr:cNvSpPr>
      </xdr:nvSpPr>
      <xdr:spPr bwMode="auto">
        <a:xfrm>
          <a:off x="8010526" y="12325350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28575</xdr:colOff>
      <xdr:row>61</xdr:row>
      <xdr:rowOff>226487</xdr:rowOff>
    </xdr:from>
    <xdr:to>
      <xdr:col>38</xdr:col>
      <xdr:colOff>189824</xdr:colOff>
      <xdr:row>67</xdr:row>
      <xdr:rowOff>114302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>
          <a:endCxn id="53" idx="3"/>
        </xdr:cNvCxnSpPr>
      </xdr:nvCxnSpPr>
      <xdr:spPr bwMode="auto">
        <a:xfrm flipV="1">
          <a:off x="6877050" y="12504212"/>
          <a:ext cx="1161374" cy="137371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28576</xdr:colOff>
      <xdr:row>24</xdr:row>
      <xdr:rowOff>133350</xdr:rowOff>
    </xdr:from>
    <xdr:to>
      <xdr:col>38</xdr:col>
      <xdr:colOff>19051</xdr:colOff>
      <xdr:row>25</xdr:row>
      <xdr:rowOff>95250</xdr:rowOff>
    </xdr:to>
    <xdr:sp macro="" textlink="">
      <xdr:nvSpPr>
        <xdr:cNvPr id="56" name="타원 12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 bwMode="auto">
        <a:xfrm>
          <a:off x="7677151" y="52101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133351</xdr:colOff>
      <xdr:row>29</xdr:row>
      <xdr:rowOff>133350</xdr:rowOff>
    </xdr:from>
    <xdr:to>
      <xdr:col>39</xdr:col>
      <xdr:colOff>123826</xdr:colOff>
      <xdr:row>30</xdr:row>
      <xdr:rowOff>95250</xdr:rowOff>
    </xdr:to>
    <xdr:sp macro="" textlink="">
      <xdr:nvSpPr>
        <xdr:cNvPr id="59" name="타원 125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rrowheads="1"/>
        </xdr:cNvSpPr>
      </xdr:nvSpPr>
      <xdr:spPr bwMode="auto">
        <a:xfrm>
          <a:off x="7981951" y="644842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85726</xdr:colOff>
      <xdr:row>32</xdr:row>
      <xdr:rowOff>57150</xdr:rowOff>
    </xdr:from>
    <xdr:to>
      <xdr:col>37</xdr:col>
      <xdr:colOff>76201</xdr:colOff>
      <xdr:row>33</xdr:row>
      <xdr:rowOff>19050</xdr:rowOff>
    </xdr:to>
    <xdr:sp macro="" textlink="">
      <xdr:nvSpPr>
        <xdr:cNvPr id="62" name="타원 125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>
          <a:spLocks noChangeArrowheads="1"/>
        </xdr:cNvSpPr>
      </xdr:nvSpPr>
      <xdr:spPr bwMode="auto">
        <a:xfrm>
          <a:off x="7534276" y="71151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95252</xdr:colOff>
      <xdr:row>32</xdr:row>
      <xdr:rowOff>209550</xdr:rowOff>
    </xdr:from>
    <xdr:to>
      <xdr:col>53</xdr:col>
      <xdr:colOff>85727</xdr:colOff>
      <xdr:row>33</xdr:row>
      <xdr:rowOff>171450</xdr:rowOff>
    </xdr:to>
    <xdr:sp macro="" textlink="">
      <xdr:nvSpPr>
        <xdr:cNvPr id="70" name="타원 125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Arrowheads="1"/>
        </xdr:cNvSpPr>
      </xdr:nvSpPr>
      <xdr:spPr bwMode="auto">
        <a:xfrm>
          <a:off x="10744202" y="7267575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28578</xdr:colOff>
      <xdr:row>35</xdr:row>
      <xdr:rowOff>28575</xdr:rowOff>
    </xdr:from>
    <xdr:to>
      <xdr:col>51</xdr:col>
      <xdr:colOff>19053</xdr:colOff>
      <xdr:row>35</xdr:row>
      <xdr:rowOff>238125</xdr:rowOff>
    </xdr:to>
    <xdr:sp macro="" textlink="">
      <xdr:nvSpPr>
        <xdr:cNvPr id="74" name="타원 125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rrowheads="1"/>
        </xdr:cNvSpPr>
      </xdr:nvSpPr>
      <xdr:spPr bwMode="auto">
        <a:xfrm>
          <a:off x="10277478" y="7829550"/>
          <a:ext cx="190500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38100</xdr:colOff>
      <xdr:row>35</xdr:row>
      <xdr:rowOff>180975</xdr:rowOff>
    </xdr:from>
    <xdr:to>
      <xdr:col>55</xdr:col>
      <xdr:colOff>190500</xdr:colOff>
      <xdr:row>36</xdr:row>
      <xdr:rowOff>180976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/>
      </xdr:nvCxnSpPr>
      <xdr:spPr bwMode="auto">
        <a:xfrm flipH="1" flipV="1">
          <a:off x="10487025" y="7981950"/>
          <a:ext cx="952500" cy="247651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172809</xdr:colOff>
      <xdr:row>57</xdr:row>
      <xdr:rowOff>134710</xdr:rowOff>
    </xdr:from>
    <xdr:to>
      <xdr:col>50</xdr:col>
      <xdr:colOff>172809</xdr:colOff>
      <xdr:row>65</xdr:row>
      <xdr:rowOff>203074</xdr:rowOff>
    </xdr:to>
    <xdr:pic>
      <xdr:nvPicPr>
        <xdr:cNvPr id="30" name="그림 38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309" y="13020674"/>
          <a:ext cx="2653393" cy="194615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0</xdr:rowOff>
    </xdr:from>
    <xdr:to>
      <xdr:col>54</xdr:col>
      <xdr:colOff>104775</xdr:colOff>
      <xdr:row>38</xdr:row>
      <xdr:rowOff>171450</xdr:rowOff>
    </xdr:to>
    <xdr:grpSp>
      <xdr:nvGrpSpPr>
        <xdr:cNvPr id="31" name="그룹 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pSpPr>
          <a:grpSpLocks/>
        </xdr:cNvGrpSpPr>
      </xdr:nvGrpSpPr>
      <xdr:grpSpPr bwMode="auto">
        <a:xfrm>
          <a:off x="9788525" y="5842000"/>
          <a:ext cx="1517650" cy="3473450"/>
          <a:chOff x="6762228" y="5572898"/>
          <a:chExt cx="779154" cy="1905736"/>
        </a:xfrm>
      </xdr:grpSpPr>
      <xdr:pic>
        <xdr:nvPicPr>
          <xdr:cNvPr id="32" name="그림 4" descr="너치드2버튼lg.bmp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1095" t="7689" r="2625" b="7524"/>
          <a:stretch>
            <a:fillRect/>
          </a:stretch>
        </xdr:blipFill>
        <xdr:spPr bwMode="auto">
          <a:xfrm>
            <a:off x="6762228" y="5572898"/>
            <a:ext cx="779154" cy="19057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3" name="Picture 9" descr="소매단추세빠없음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859711">
            <a:off x="7381022" y="7049698"/>
            <a:ext cx="57335" cy="2115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4" name="자유형 4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SpPr/>
        </xdr:nvSpPr>
        <xdr:spPr>
          <a:xfrm rot="180304">
            <a:off x="7097348" y="6872263"/>
            <a:ext cx="150804" cy="558246"/>
          </a:xfrm>
          <a:custGeom>
            <a:avLst/>
            <a:gdLst>
              <a:gd name="connsiteX0" fmla="*/ 0 w 201083"/>
              <a:gd name="connsiteY0" fmla="*/ 148167 h 889000"/>
              <a:gd name="connsiteX1" fmla="*/ 169333 w 201083"/>
              <a:gd name="connsiteY1" fmla="*/ 0 h 889000"/>
              <a:gd name="connsiteX2" fmla="*/ 201083 w 201083"/>
              <a:gd name="connsiteY2" fmla="*/ 889000 h 889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01083" h="889000">
                <a:moveTo>
                  <a:pt x="0" y="148167"/>
                </a:moveTo>
                <a:lnTo>
                  <a:pt x="169333" y="0"/>
                </a:lnTo>
                <a:lnTo>
                  <a:pt x="201083" y="889000"/>
                </a:lnTo>
              </a:path>
            </a:pathLst>
          </a:cu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endParaRPr lang="ko-KR" altLang="en-US"/>
          </a:p>
        </xdr:txBody>
      </xdr:sp>
    </xdr:grpSp>
    <xdr:clientData/>
  </xdr:twoCellAnchor>
  <xdr:twoCellAnchor editAs="oneCell">
    <xdr:from>
      <xdr:col>33</xdr:col>
      <xdr:colOff>95250</xdr:colOff>
      <xdr:row>24</xdr:row>
      <xdr:rowOff>104776</xdr:rowOff>
    </xdr:from>
    <xdr:to>
      <xdr:col>45</xdr:col>
      <xdr:colOff>114300</xdr:colOff>
      <xdr:row>38</xdr:row>
      <xdr:rowOff>101349</xdr:rowOff>
    </xdr:to>
    <xdr:pic>
      <xdr:nvPicPr>
        <xdr:cNvPr id="35" name="그림 7" descr="너치드2버튼lg.bmp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6" t="5946" r="52638" b="4330"/>
        <a:stretch>
          <a:fillRect/>
        </a:stretch>
      </xdr:blipFill>
      <xdr:spPr bwMode="auto">
        <a:xfrm>
          <a:off x="7239000" y="5238751"/>
          <a:ext cx="2533650" cy="346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152401</xdr:colOff>
      <xdr:row>59</xdr:row>
      <xdr:rowOff>19050</xdr:rowOff>
    </xdr:from>
    <xdr:to>
      <xdr:col>44</xdr:col>
      <xdr:colOff>142876</xdr:colOff>
      <xdr:row>59</xdr:row>
      <xdr:rowOff>228600</xdr:rowOff>
    </xdr:to>
    <xdr:sp macro="" textlink="">
      <xdr:nvSpPr>
        <xdr:cNvPr id="36" name="타원 12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rrowheads="1"/>
        </xdr:cNvSpPr>
      </xdr:nvSpPr>
      <xdr:spPr bwMode="auto">
        <a:xfrm>
          <a:off x="8229601" y="11791950"/>
          <a:ext cx="17335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28575</xdr:colOff>
      <xdr:row>59</xdr:row>
      <xdr:rowOff>66677</xdr:rowOff>
    </xdr:from>
    <xdr:to>
      <xdr:col>43</xdr:col>
      <xdr:colOff>190500</xdr:colOff>
      <xdr:row>59</xdr:row>
      <xdr:rowOff>114300</xdr:rowOff>
    </xdr:to>
    <xdr:cxnSp macro="">
      <xdr:nvCxnSpPr>
        <xdr:cNvPr id="37" name="직선 연결선 2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 bwMode="auto">
        <a:xfrm>
          <a:off x="6276975" y="11839577"/>
          <a:ext cx="1983105" cy="47623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95250</xdr:colOff>
      <xdr:row>66</xdr:row>
      <xdr:rowOff>190500</xdr:rowOff>
    </xdr:from>
    <xdr:to>
      <xdr:col>51</xdr:col>
      <xdr:colOff>28575</xdr:colOff>
      <xdr:row>72</xdr:row>
      <xdr:rowOff>83532</xdr:rowOff>
    </xdr:to>
    <xdr:pic>
      <xdr:nvPicPr>
        <xdr:cNvPr id="38" name="그림 4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170" y="13716000"/>
          <a:ext cx="2493645" cy="1401793"/>
        </a:xfrm>
        <a:prstGeom prst="rect">
          <a:avLst/>
        </a:prstGeom>
      </xdr:spPr>
    </xdr:pic>
    <xdr:clientData/>
  </xdr:twoCellAnchor>
  <xdr:twoCellAnchor>
    <xdr:from>
      <xdr:col>46</xdr:col>
      <xdr:colOff>19051</xdr:colOff>
      <xdr:row>60</xdr:row>
      <xdr:rowOff>76200</xdr:rowOff>
    </xdr:from>
    <xdr:to>
      <xdr:col>47</xdr:col>
      <xdr:colOff>9526</xdr:colOff>
      <xdr:row>61</xdr:row>
      <xdr:rowOff>38100</xdr:rowOff>
    </xdr:to>
    <xdr:sp macro="" textlink="">
      <xdr:nvSpPr>
        <xdr:cNvPr id="40" name="타원 12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rrowheads="1"/>
        </xdr:cNvSpPr>
      </xdr:nvSpPr>
      <xdr:spPr bwMode="auto">
        <a:xfrm>
          <a:off x="8644891" y="12092940"/>
          <a:ext cx="173355" cy="21336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47</xdr:col>
      <xdr:colOff>38100</xdr:colOff>
      <xdr:row>59</xdr:row>
      <xdr:rowOff>114300</xdr:rowOff>
    </xdr:from>
    <xdr:to>
      <xdr:col>56</xdr:col>
      <xdr:colOff>0</xdr:colOff>
      <xdr:row>60</xdr:row>
      <xdr:rowOff>142875</xdr:rowOff>
    </xdr:to>
    <xdr:cxnSp macro="">
      <xdr:nvCxnSpPr>
        <xdr:cNvPr id="41" name="직선 연결선 45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 bwMode="auto">
        <a:xfrm flipH="1">
          <a:off x="8846820" y="11887200"/>
          <a:ext cx="1607820" cy="27241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47626</xdr:colOff>
      <xdr:row>70</xdr:row>
      <xdr:rowOff>190500</xdr:rowOff>
    </xdr:from>
    <xdr:to>
      <xdr:col>49</xdr:col>
      <xdr:colOff>38101</xdr:colOff>
      <xdr:row>71</xdr:row>
      <xdr:rowOff>152400</xdr:rowOff>
    </xdr:to>
    <xdr:sp macro="" textlink="">
      <xdr:nvSpPr>
        <xdr:cNvPr id="43" name="타원 125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Arrowheads="1"/>
        </xdr:cNvSpPr>
      </xdr:nvSpPr>
      <xdr:spPr bwMode="auto">
        <a:xfrm>
          <a:off x="9039226" y="14721840"/>
          <a:ext cx="173355" cy="21336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49</xdr:col>
      <xdr:colOff>57150</xdr:colOff>
      <xdr:row>68</xdr:row>
      <xdr:rowOff>133350</xdr:rowOff>
    </xdr:from>
    <xdr:to>
      <xdr:col>55</xdr:col>
      <xdr:colOff>190500</xdr:colOff>
      <xdr:row>70</xdr:row>
      <xdr:rowOff>238125</xdr:rowOff>
    </xdr:to>
    <xdr:cxnSp macro="">
      <xdr:nvCxnSpPr>
        <xdr:cNvPr id="44" name="직선 연결선 49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 bwMode="auto">
        <a:xfrm flipH="1">
          <a:off x="9231630" y="14161770"/>
          <a:ext cx="1223010" cy="60769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161926</xdr:colOff>
      <xdr:row>61</xdr:row>
      <xdr:rowOff>47625</xdr:rowOff>
    </xdr:from>
    <xdr:to>
      <xdr:col>39</xdr:col>
      <xdr:colOff>152401</xdr:colOff>
      <xdr:row>62</xdr:row>
      <xdr:rowOff>9525</xdr:rowOff>
    </xdr:to>
    <xdr:sp macro="" textlink="">
      <xdr:nvSpPr>
        <xdr:cNvPr id="47" name="타원 12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Arrowheads="1"/>
        </xdr:cNvSpPr>
      </xdr:nvSpPr>
      <xdr:spPr bwMode="auto">
        <a:xfrm>
          <a:off x="7324726" y="12315825"/>
          <a:ext cx="173355" cy="21336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28575</xdr:colOff>
      <xdr:row>61</xdr:row>
      <xdr:rowOff>226487</xdr:rowOff>
    </xdr:from>
    <xdr:to>
      <xdr:col>38</xdr:col>
      <xdr:colOff>189824</xdr:colOff>
      <xdr:row>67</xdr:row>
      <xdr:rowOff>114302</xdr:rowOff>
    </xdr:to>
    <xdr:cxnSp macro="">
      <xdr:nvCxnSpPr>
        <xdr:cNvPr id="48" name="직선 연결선 53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>
          <a:endCxn id="47" idx="3"/>
        </xdr:cNvCxnSpPr>
      </xdr:nvCxnSpPr>
      <xdr:spPr bwMode="auto">
        <a:xfrm flipV="1">
          <a:off x="6276975" y="12494687"/>
          <a:ext cx="1068029" cy="139657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19051</xdr:colOff>
      <xdr:row>25</xdr:row>
      <xdr:rowOff>161925</xdr:rowOff>
    </xdr:from>
    <xdr:to>
      <xdr:col>38</xdr:col>
      <xdr:colOff>9526</xdr:colOff>
      <xdr:row>26</xdr:row>
      <xdr:rowOff>123825</xdr:rowOff>
    </xdr:to>
    <xdr:sp macro="" textlink="">
      <xdr:nvSpPr>
        <xdr:cNvPr id="51" name="타원 125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Arrowheads="1"/>
        </xdr:cNvSpPr>
      </xdr:nvSpPr>
      <xdr:spPr bwMode="auto">
        <a:xfrm>
          <a:off x="8001001" y="5543550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0</xdr:colOff>
      <xdr:row>24</xdr:row>
      <xdr:rowOff>161925</xdr:rowOff>
    </xdr:from>
    <xdr:to>
      <xdr:col>37</xdr:col>
      <xdr:colOff>0</xdr:colOff>
      <xdr:row>25</xdr:row>
      <xdr:rowOff>228600</xdr:rowOff>
    </xdr:to>
    <xdr:cxnSp macro="">
      <xdr:nvCxnSpPr>
        <xdr:cNvPr id="52" name="직선 연결선 56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 bwMode="auto">
        <a:xfrm>
          <a:off x="6934200" y="5295900"/>
          <a:ext cx="1047750" cy="31432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180976</xdr:colOff>
      <xdr:row>31</xdr:row>
      <xdr:rowOff>114300</xdr:rowOff>
    </xdr:from>
    <xdr:to>
      <xdr:col>39</xdr:col>
      <xdr:colOff>171451</xdr:colOff>
      <xdr:row>32</xdr:row>
      <xdr:rowOff>76200</xdr:rowOff>
    </xdr:to>
    <xdr:sp macro="" textlink="">
      <xdr:nvSpPr>
        <xdr:cNvPr id="55" name="타원 125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Arrowheads="1"/>
        </xdr:cNvSpPr>
      </xdr:nvSpPr>
      <xdr:spPr bwMode="auto">
        <a:xfrm>
          <a:off x="8372476" y="6981825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28575</xdr:colOff>
      <xdr:row>30</xdr:row>
      <xdr:rowOff>142875</xdr:rowOff>
    </xdr:from>
    <xdr:to>
      <xdr:col>38</xdr:col>
      <xdr:colOff>190500</xdr:colOff>
      <xdr:row>31</xdr:row>
      <xdr:rowOff>209550</xdr:rowOff>
    </xdr:to>
    <xdr:cxnSp macro="">
      <xdr:nvCxnSpPr>
        <xdr:cNvPr id="58" name="직선 연결선 5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 bwMode="auto">
        <a:xfrm>
          <a:off x="6962775" y="6762750"/>
          <a:ext cx="1419225" cy="31432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95251</xdr:colOff>
      <xdr:row>33</xdr:row>
      <xdr:rowOff>219075</xdr:rowOff>
    </xdr:from>
    <xdr:to>
      <xdr:col>37</xdr:col>
      <xdr:colOff>85726</xdr:colOff>
      <xdr:row>34</xdr:row>
      <xdr:rowOff>180975</xdr:rowOff>
    </xdr:to>
    <xdr:sp macro="" textlink="">
      <xdr:nvSpPr>
        <xdr:cNvPr id="61" name="타원 125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rrowheads="1"/>
        </xdr:cNvSpPr>
      </xdr:nvSpPr>
      <xdr:spPr bwMode="auto">
        <a:xfrm>
          <a:off x="7867651" y="7581900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9525</xdr:colOff>
      <xdr:row>34</xdr:row>
      <xdr:rowOff>114300</xdr:rowOff>
    </xdr:from>
    <xdr:to>
      <xdr:col>36</xdr:col>
      <xdr:colOff>95250</xdr:colOff>
      <xdr:row>35</xdr:row>
      <xdr:rowOff>114302</xdr:rowOff>
    </xdr:to>
    <xdr:cxnSp macro="">
      <xdr:nvCxnSpPr>
        <xdr:cNvPr id="64" name="직선 연결선 6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/>
      </xdr:nvCxnSpPr>
      <xdr:spPr bwMode="auto">
        <a:xfrm flipV="1">
          <a:off x="6943725" y="7724775"/>
          <a:ext cx="923925" cy="247652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161926</xdr:colOff>
      <xdr:row>26</xdr:row>
      <xdr:rowOff>123825</xdr:rowOff>
    </xdr:from>
    <xdr:to>
      <xdr:col>52</xdr:col>
      <xdr:colOff>152401</xdr:colOff>
      <xdr:row>27</xdr:row>
      <xdr:rowOff>85725</xdr:rowOff>
    </xdr:to>
    <xdr:sp macro="" textlink="">
      <xdr:nvSpPr>
        <xdr:cNvPr id="65" name="타원 125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rrowheads="1"/>
        </xdr:cNvSpPr>
      </xdr:nvSpPr>
      <xdr:spPr bwMode="auto">
        <a:xfrm>
          <a:off x="11077576" y="5753100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171450</xdr:colOff>
      <xdr:row>24</xdr:row>
      <xdr:rowOff>180975</xdr:rowOff>
    </xdr:from>
    <xdr:to>
      <xdr:col>55</xdr:col>
      <xdr:colOff>180975</xdr:colOff>
      <xdr:row>26</xdr:row>
      <xdr:rowOff>190500</xdr:rowOff>
    </xdr:to>
    <xdr:cxnSp macro="">
      <xdr:nvCxnSpPr>
        <xdr:cNvPr id="68" name="직선 연결선 66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/>
      </xdr:nvCxnSpPr>
      <xdr:spPr bwMode="auto">
        <a:xfrm flipH="1">
          <a:off x="11296650" y="5314950"/>
          <a:ext cx="638175" cy="50482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28577</xdr:colOff>
      <xdr:row>35</xdr:row>
      <xdr:rowOff>38100</xdr:rowOff>
    </xdr:from>
    <xdr:to>
      <xdr:col>54</xdr:col>
      <xdr:colOff>19052</xdr:colOff>
      <xdr:row>36</xdr:row>
      <xdr:rowOff>0</xdr:rowOff>
    </xdr:to>
    <xdr:sp macro="" textlink="">
      <xdr:nvSpPr>
        <xdr:cNvPr id="69" name="타원 125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>
          <a:spLocks noChangeArrowheads="1"/>
        </xdr:cNvSpPr>
      </xdr:nvSpPr>
      <xdr:spPr bwMode="auto">
        <a:xfrm>
          <a:off x="11363327" y="7896225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53</xdr:col>
      <xdr:colOff>199309</xdr:colOff>
      <xdr:row>29</xdr:row>
      <xdr:rowOff>209550</xdr:rowOff>
    </xdr:from>
    <xdr:to>
      <xdr:col>55</xdr:col>
      <xdr:colOff>180975</xdr:colOff>
      <xdr:row>35</xdr:row>
      <xdr:rowOff>68788</xdr:rowOff>
    </xdr:to>
    <xdr:cxnSp macro="">
      <xdr:nvCxnSpPr>
        <xdr:cNvPr id="72" name="직선 연결선 70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CxnSpPr>
          <a:endCxn id="69" idx="7"/>
        </xdr:cNvCxnSpPr>
      </xdr:nvCxnSpPr>
      <xdr:spPr bwMode="auto">
        <a:xfrm flipH="1">
          <a:off x="11534059" y="6581775"/>
          <a:ext cx="400766" cy="1345138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</xdr:colOff>
      <xdr:row>35</xdr:row>
      <xdr:rowOff>28575</xdr:rowOff>
    </xdr:from>
    <xdr:to>
      <xdr:col>51</xdr:col>
      <xdr:colOff>200028</xdr:colOff>
      <xdr:row>35</xdr:row>
      <xdr:rowOff>238125</xdr:rowOff>
    </xdr:to>
    <xdr:sp macro="" textlink="">
      <xdr:nvSpPr>
        <xdr:cNvPr id="73" name="타원 125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10915653" y="7886700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19050</xdr:colOff>
      <xdr:row>35</xdr:row>
      <xdr:rowOff>219075</xdr:rowOff>
    </xdr:from>
    <xdr:to>
      <xdr:col>55</xdr:col>
      <xdr:colOff>190500</xdr:colOff>
      <xdr:row>36</xdr:row>
      <xdr:rowOff>180977</xdr:rowOff>
    </xdr:to>
    <xdr:cxnSp macro="">
      <xdr:nvCxnSpPr>
        <xdr:cNvPr id="76" name="직선 연결선 74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/>
      </xdr:nvCxnSpPr>
      <xdr:spPr bwMode="auto">
        <a:xfrm flipH="1" flipV="1">
          <a:off x="11144250" y="8077200"/>
          <a:ext cx="800100" cy="209552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142875</xdr:colOff>
      <xdr:row>24</xdr:row>
      <xdr:rowOff>47625</xdr:rowOff>
    </xdr:from>
    <xdr:to>
      <xdr:col>43</xdr:col>
      <xdr:colOff>76200</xdr:colOff>
      <xdr:row>28</xdr:row>
      <xdr:rowOff>171451</xdr:rowOff>
    </xdr:to>
    <xdr:cxnSp macro="">
      <xdr:nvCxnSpPr>
        <xdr:cNvPr id="79" name="직선 연결선 56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/>
      </xdr:nvCxnSpPr>
      <xdr:spPr bwMode="auto">
        <a:xfrm flipV="1">
          <a:off x="8963025" y="5181600"/>
          <a:ext cx="352425" cy="1114426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66675</xdr:colOff>
      <xdr:row>28</xdr:row>
      <xdr:rowOff>95251</xdr:rowOff>
    </xdr:from>
    <xdr:to>
      <xdr:col>42</xdr:col>
      <xdr:colOff>57150</xdr:colOff>
      <xdr:row>29</xdr:row>
      <xdr:rowOff>57151</xdr:rowOff>
    </xdr:to>
    <xdr:sp macro="" textlink="">
      <xdr:nvSpPr>
        <xdr:cNvPr id="83" name="타원 125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rrowheads="1"/>
        </xdr:cNvSpPr>
      </xdr:nvSpPr>
      <xdr:spPr bwMode="auto">
        <a:xfrm>
          <a:off x="8886825" y="6219826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19050</xdr:colOff>
      <xdr:row>24</xdr:row>
      <xdr:rowOff>19050</xdr:rowOff>
    </xdr:from>
    <xdr:to>
      <xdr:col>48</xdr:col>
      <xdr:colOff>57150</xdr:colOff>
      <xdr:row>31</xdr:row>
      <xdr:rowOff>200025</xdr:rowOff>
    </xdr:to>
    <xdr:cxnSp macro="">
      <xdr:nvCxnSpPr>
        <xdr:cNvPr id="86" name="직선 연결선 56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CxnSpPr/>
      </xdr:nvCxnSpPr>
      <xdr:spPr bwMode="auto">
        <a:xfrm flipV="1">
          <a:off x="9677400" y="5153025"/>
          <a:ext cx="666750" cy="1914525"/>
        </a:xfrm>
        <a:prstGeom prst="line">
          <a:avLst/>
        </a:prstGeom>
        <a:ln w="28575">
          <a:solidFill>
            <a:srgbClr val="FF0000"/>
          </a:solidFill>
          <a:prstDash val="sysDot"/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57150</xdr:colOff>
      <xdr:row>31</xdr:row>
      <xdr:rowOff>123826</xdr:rowOff>
    </xdr:from>
    <xdr:to>
      <xdr:col>45</xdr:col>
      <xdr:colOff>47625</xdr:colOff>
      <xdr:row>32</xdr:row>
      <xdr:rowOff>85726</xdr:rowOff>
    </xdr:to>
    <xdr:sp macro="" textlink="">
      <xdr:nvSpPr>
        <xdr:cNvPr id="87" name="타원 125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rrowheads="1"/>
        </xdr:cNvSpPr>
      </xdr:nvSpPr>
      <xdr:spPr bwMode="auto">
        <a:xfrm>
          <a:off x="9505950" y="6991351"/>
          <a:ext cx="200025" cy="209550"/>
        </a:xfrm>
        <a:prstGeom prst="ellips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10757</xdr:colOff>
      <xdr:row>40</xdr:row>
      <xdr:rowOff>139701</xdr:rowOff>
    </xdr:from>
    <xdr:to>
      <xdr:col>61</xdr:col>
      <xdr:colOff>117347</xdr:colOff>
      <xdr:row>47</xdr:row>
      <xdr:rowOff>19777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C8EB9059-F528-444D-962F-FDC9FD232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764607" y="9750426"/>
          <a:ext cx="1544865" cy="603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"/>
  <sheetViews>
    <sheetView topLeftCell="A25" workbookViewId="0">
      <selection activeCell="A54" activeCellId="3" sqref="A34:XFD37 A43:XFD43 A45:XFD48 A54:XFD54"/>
    </sheetView>
  </sheetViews>
  <sheetFormatPr baseColWidth="10" defaultColWidth="8.83203125" defaultRowHeight="17"/>
  <cols>
    <col min="1" max="1" width="11.33203125" customWidth="1"/>
  </cols>
  <sheetData>
    <row r="1" spans="1:29" ht="30">
      <c r="A1" s="48" t="s">
        <v>69</v>
      </c>
      <c r="B1" s="49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9">
      <c r="A2" s="17" t="s">
        <v>35</v>
      </c>
      <c r="B2" s="50">
        <v>70</v>
      </c>
      <c r="C2" s="50">
        <v>72</v>
      </c>
      <c r="D2" s="50">
        <v>74</v>
      </c>
      <c r="E2" s="50">
        <v>76</v>
      </c>
      <c r="F2" s="50">
        <v>78</v>
      </c>
      <c r="G2" s="50">
        <v>80</v>
      </c>
      <c r="H2" s="55">
        <v>82</v>
      </c>
      <c r="I2" s="50">
        <v>84</v>
      </c>
      <c r="J2" s="50">
        <v>86</v>
      </c>
      <c r="K2" s="50">
        <v>88</v>
      </c>
      <c r="L2" s="50">
        <v>90</v>
      </c>
      <c r="M2" s="50">
        <v>92</v>
      </c>
      <c r="N2" s="50">
        <v>94</v>
      </c>
      <c r="O2" s="50">
        <v>96</v>
      </c>
      <c r="P2" s="50">
        <v>98</v>
      </c>
      <c r="Q2" s="50">
        <v>100</v>
      </c>
      <c r="R2" s="50">
        <v>102</v>
      </c>
      <c r="S2" s="50">
        <v>104</v>
      </c>
      <c r="T2" s="50">
        <v>106</v>
      </c>
      <c r="U2" s="50">
        <v>108</v>
      </c>
      <c r="V2" s="50">
        <v>110</v>
      </c>
      <c r="W2" s="50">
        <v>112</v>
      </c>
      <c r="X2" s="50">
        <v>114</v>
      </c>
      <c r="Y2" s="50">
        <v>116</v>
      </c>
      <c r="Z2" s="17" t="s">
        <v>37</v>
      </c>
    </row>
    <row r="3" spans="1:29">
      <c r="A3" s="57" t="s">
        <v>57</v>
      </c>
      <c r="B3" s="20">
        <v>72</v>
      </c>
      <c r="C3" s="20">
        <v>74</v>
      </c>
      <c r="D3" s="20">
        <v>76</v>
      </c>
      <c r="E3" s="20">
        <v>78</v>
      </c>
      <c r="F3" s="20">
        <v>80</v>
      </c>
      <c r="G3" s="20">
        <v>82</v>
      </c>
      <c r="H3" s="58">
        <v>84</v>
      </c>
      <c r="I3" s="24">
        <v>86</v>
      </c>
      <c r="J3" s="24">
        <v>88</v>
      </c>
      <c r="K3" s="20">
        <v>90</v>
      </c>
      <c r="L3" s="20">
        <v>92</v>
      </c>
      <c r="M3" s="20">
        <v>94</v>
      </c>
      <c r="N3" s="20">
        <v>96</v>
      </c>
      <c r="O3" s="20">
        <v>98</v>
      </c>
      <c r="P3" s="20">
        <v>100</v>
      </c>
      <c r="Q3" s="20">
        <v>102</v>
      </c>
      <c r="R3" s="20">
        <v>104</v>
      </c>
      <c r="S3" s="20">
        <v>106</v>
      </c>
      <c r="T3" s="20">
        <v>108</v>
      </c>
      <c r="U3" s="20">
        <v>110</v>
      </c>
      <c r="V3" s="20">
        <v>112</v>
      </c>
      <c r="W3" s="20">
        <v>114</v>
      </c>
      <c r="X3" s="20">
        <v>116</v>
      </c>
      <c r="Y3" s="20">
        <v>118</v>
      </c>
      <c r="Z3" s="20">
        <f>Y3-X3</f>
        <v>2</v>
      </c>
    </row>
    <row r="4" spans="1:29">
      <c r="A4" s="57" t="s">
        <v>58</v>
      </c>
      <c r="B4" s="20">
        <v>89</v>
      </c>
      <c r="C4" s="20">
        <v>91</v>
      </c>
      <c r="D4" s="20">
        <v>93</v>
      </c>
      <c r="E4" s="20">
        <v>95</v>
      </c>
      <c r="F4" s="20">
        <v>97</v>
      </c>
      <c r="G4" s="20">
        <v>99</v>
      </c>
      <c r="H4" s="58">
        <v>101</v>
      </c>
      <c r="I4" s="24">
        <v>103</v>
      </c>
      <c r="J4" s="24">
        <v>105</v>
      </c>
      <c r="K4" s="20">
        <v>107</v>
      </c>
      <c r="L4" s="20">
        <v>109</v>
      </c>
      <c r="M4" s="20">
        <v>111</v>
      </c>
      <c r="N4" s="20">
        <v>113</v>
      </c>
      <c r="O4" s="20">
        <v>115</v>
      </c>
      <c r="P4" s="20">
        <v>117</v>
      </c>
      <c r="Q4" s="20">
        <v>119</v>
      </c>
      <c r="R4" s="20">
        <v>121</v>
      </c>
      <c r="S4" s="20">
        <v>123</v>
      </c>
      <c r="T4" s="20">
        <v>125</v>
      </c>
      <c r="U4" s="20">
        <v>127</v>
      </c>
      <c r="V4" s="20">
        <v>129</v>
      </c>
      <c r="W4" s="20">
        <v>131</v>
      </c>
      <c r="X4" s="20">
        <v>133</v>
      </c>
      <c r="Y4" s="20">
        <v>135</v>
      </c>
      <c r="Z4" s="20">
        <f>Y4-X4</f>
        <v>2</v>
      </c>
    </row>
    <row r="5" spans="1:29">
      <c r="A5" s="57" t="s">
        <v>59</v>
      </c>
      <c r="B5" s="20">
        <v>22.3</v>
      </c>
      <c r="C5" s="20">
        <v>22.55</v>
      </c>
      <c r="D5" s="20">
        <v>22.8</v>
      </c>
      <c r="E5" s="20">
        <v>23.05</v>
      </c>
      <c r="F5" s="20">
        <v>23.3</v>
      </c>
      <c r="G5" s="20">
        <v>23.55</v>
      </c>
      <c r="H5" s="58">
        <v>23.8</v>
      </c>
      <c r="I5" s="24">
        <v>24.05</v>
      </c>
      <c r="J5" s="24">
        <v>24.3</v>
      </c>
      <c r="K5" s="20">
        <v>24.55</v>
      </c>
      <c r="L5" s="20">
        <v>24.8</v>
      </c>
      <c r="M5" s="20">
        <v>25.05</v>
      </c>
      <c r="N5" s="20">
        <v>25.3</v>
      </c>
      <c r="O5" s="20">
        <v>25.55</v>
      </c>
      <c r="P5" s="20">
        <v>25.8</v>
      </c>
      <c r="Q5" s="20">
        <v>26.05</v>
      </c>
      <c r="R5" s="20">
        <v>26.3</v>
      </c>
      <c r="S5" s="20">
        <v>26.55</v>
      </c>
      <c r="T5" s="20">
        <v>26.8</v>
      </c>
      <c r="U5" s="20">
        <v>27.05</v>
      </c>
      <c r="V5" s="20">
        <v>27.3</v>
      </c>
      <c r="W5" s="20">
        <v>27.55</v>
      </c>
      <c r="X5" s="20">
        <v>27.8</v>
      </c>
      <c r="Y5" s="20">
        <v>28.05</v>
      </c>
      <c r="Z5" s="20">
        <f>Y5-X5</f>
        <v>0.25</v>
      </c>
    </row>
    <row r="6" spans="1:29">
      <c r="A6" s="57" t="s">
        <v>60</v>
      </c>
      <c r="B6" s="20">
        <v>38.54</v>
      </c>
      <c r="C6" s="20">
        <v>38.81</v>
      </c>
      <c r="D6" s="20">
        <v>39.08</v>
      </c>
      <c r="E6" s="20">
        <v>39.35</v>
      </c>
      <c r="F6" s="20">
        <v>39.619999999999997</v>
      </c>
      <c r="G6" s="53">
        <v>39.9</v>
      </c>
      <c r="H6" s="60">
        <v>40.18</v>
      </c>
      <c r="I6" s="24">
        <v>40.700000000000003</v>
      </c>
      <c r="J6" s="20">
        <v>41.22</v>
      </c>
      <c r="K6" s="20">
        <v>41.74</v>
      </c>
      <c r="L6" s="20">
        <v>42.26</v>
      </c>
      <c r="M6" s="20">
        <v>42.96</v>
      </c>
      <c r="N6" s="20">
        <v>43.67</v>
      </c>
      <c r="O6" s="20">
        <v>44.38</v>
      </c>
      <c r="P6" s="20">
        <v>45.09</v>
      </c>
      <c r="Q6" s="20">
        <v>45.8</v>
      </c>
      <c r="R6" s="20">
        <v>46.51</v>
      </c>
      <c r="S6" s="20">
        <v>47.22</v>
      </c>
      <c r="T6" s="20">
        <v>47.93</v>
      </c>
      <c r="U6" s="20">
        <v>48.64</v>
      </c>
      <c r="V6" s="20">
        <v>49.35</v>
      </c>
      <c r="W6" s="20">
        <v>50.06</v>
      </c>
      <c r="X6" s="20">
        <v>50.77</v>
      </c>
      <c r="Y6" s="20">
        <v>51.48</v>
      </c>
      <c r="Z6" s="20"/>
    </row>
    <row r="7" spans="1:29">
      <c r="A7" s="57" t="s">
        <v>61</v>
      </c>
      <c r="B7" s="20">
        <v>21.4</v>
      </c>
      <c r="C7" s="20">
        <v>21.7</v>
      </c>
      <c r="D7" s="20">
        <v>22</v>
      </c>
      <c r="E7" s="20">
        <v>22.3</v>
      </c>
      <c r="F7" s="20">
        <v>22.6</v>
      </c>
      <c r="G7" s="20">
        <v>22.9</v>
      </c>
      <c r="H7" s="58">
        <v>23.2</v>
      </c>
      <c r="I7" s="24">
        <v>23.5</v>
      </c>
      <c r="J7" s="24">
        <v>23.8</v>
      </c>
      <c r="K7" s="20">
        <v>24.1</v>
      </c>
      <c r="L7" s="20">
        <v>24.4</v>
      </c>
      <c r="M7" s="20">
        <v>24.7</v>
      </c>
      <c r="N7" s="20">
        <v>25</v>
      </c>
      <c r="O7" s="20">
        <v>25.3</v>
      </c>
      <c r="P7" s="20">
        <v>25.6</v>
      </c>
      <c r="Q7" s="20">
        <v>25.9</v>
      </c>
      <c r="R7" s="20">
        <v>26.2</v>
      </c>
      <c r="S7" s="20">
        <v>26.5</v>
      </c>
      <c r="T7" s="20">
        <v>26.8</v>
      </c>
      <c r="U7" s="20">
        <v>27.1</v>
      </c>
      <c r="V7" s="20">
        <v>27.4</v>
      </c>
      <c r="W7" s="20">
        <v>27.7</v>
      </c>
      <c r="X7" s="20">
        <v>28</v>
      </c>
      <c r="Y7" s="20">
        <v>28.3</v>
      </c>
      <c r="Z7" s="20">
        <f>Y7-X7</f>
        <v>0.30000000000000071</v>
      </c>
    </row>
    <row r="8" spans="1:29">
      <c r="A8" s="57" t="s">
        <v>62</v>
      </c>
      <c r="B8" s="20">
        <v>17.8</v>
      </c>
      <c r="C8" s="20">
        <v>18</v>
      </c>
      <c r="D8" s="20">
        <v>18.2</v>
      </c>
      <c r="E8" s="20">
        <v>18.399999999999999</v>
      </c>
      <c r="F8" s="20">
        <v>18.600000000000001</v>
      </c>
      <c r="G8" s="20">
        <v>18.8</v>
      </c>
      <c r="H8" s="58">
        <v>19</v>
      </c>
      <c r="I8" s="24">
        <v>19.2</v>
      </c>
      <c r="J8" s="24">
        <v>19.399999999999999</v>
      </c>
      <c r="K8" s="20">
        <v>19.600000000000001</v>
      </c>
      <c r="L8" s="20">
        <v>19.8</v>
      </c>
      <c r="M8" s="20">
        <v>20</v>
      </c>
      <c r="N8" s="20">
        <v>20.2</v>
      </c>
      <c r="O8" s="20">
        <v>20.399999999999999</v>
      </c>
      <c r="P8" s="20">
        <v>20.6</v>
      </c>
      <c r="Q8" s="20">
        <v>20.8</v>
      </c>
      <c r="R8" s="20">
        <v>21</v>
      </c>
      <c r="S8" s="20">
        <v>21.2</v>
      </c>
      <c r="T8" s="20">
        <v>21.4</v>
      </c>
      <c r="U8" s="20">
        <v>21.6</v>
      </c>
      <c r="V8" s="20">
        <v>21.8</v>
      </c>
      <c r="W8" s="20">
        <v>22</v>
      </c>
      <c r="X8" s="20">
        <v>22.2</v>
      </c>
      <c r="Y8" s="20">
        <v>22.4</v>
      </c>
      <c r="Z8" s="20">
        <f>Y8-X8</f>
        <v>0.19999999999999929</v>
      </c>
    </row>
    <row r="9" spans="1:29" ht="18" thickBot="1">
      <c r="A9" s="57" t="s">
        <v>63</v>
      </c>
      <c r="B9" s="20">
        <v>104.4</v>
      </c>
      <c r="C9" s="20">
        <v>105.2</v>
      </c>
      <c r="D9" s="20">
        <v>105.4</v>
      </c>
      <c r="E9" s="20">
        <v>105.7</v>
      </c>
      <c r="F9" s="20">
        <v>106</v>
      </c>
      <c r="G9" s="20">
        <v>106.2</v>
      </c>
      <c r="H9" s="62">
        <v>106.5</v>
      </c>
      <c r="I9" s="24">
        <v>106.7</v>
      </c>
      <c r="J9" s="20">
        <v>107</v>
      </c>
      <c r="K9" s="20">
        <v>107.3</v>
      </c>
      <c r="L9" s="20">
        <v>107.5</v>
      </c>
      <c r="M9" s="20">
        <v>107.8</v>
      </c>
      <c r="N9" s="20">
        <v>108</v>
      </c>
      <c r="O9" s="20">
        <v>108.3</v>
      </c>
      <c r="P9" s="20">
        <v>108.6</v>
      </c>
      <c r="Q9" s="20">
        <v>108.8</v>
      </c>
      <c r="R9" s="20">
        <v>109.1</v>
      </c>
      <c r="S9" s="20">
        <v>109.4</v>
      </c>
      <c r="T9" s="20">
        <v>109.6</v>
      </c>
      <c r="U9" s="20">
        <v>109.9</v>
      </c>
      <c r="V9" s="20">
        <v>110.1</v>
      </c>
      <c r="W9" s="20">
        <v>110.4</v>
      </c>
      <c r="X9" s="20">
        <v>110.7</v>
      </c>
      <c r="Y9" s="20">
        <v>111</v>
      </c>
      <c r="Z9" s="20" t="s">
        <v>46</v>
      </c>
    </row>
    <row r="10" spans="1:29" ht="18" thickBot="1">
      <c r="A10" s="57" t="s">
        <v>64</v>
      </c>
      <c r="B10" s="20">
        <v>56.17</v>
      </c>
      <c r="C10" s="20">
        <v>57.08</v>
      </c>
      <c r="D10" s="20">
        <v>57.99</v>
      </c>
      <c r="E10" s="20">
        <v>58.9</v>
      </c>
      <c r="F10" s="20">
        <v>59.81</v>
      </c>
      <c r="G10" s="20">
        <v>60.71</v>
      </c>
      <c r="H10" s="62">
        <v>61.6</v>
      </c>
      <c r="I10" s="24">
        <v>62.7</v>
      </c>
      <c r="J10" s="20">
        <v>63.8</v>
      </c>
      <c r="K10" s="20">
        <v>64.900000000000006</v>
      </c>
      <c r="L10" s="20">
        <v>66</v>
      </c>
      <c r="M10" s="20">
        <v>67.239999999999995</v>
      </c>
      <c r="N10" s="20">
        <v>68.489999999999995</v>
      </c>
      <c r="O10" s="20">
        <v>69.73</v>
      </c>
      <c r="P10" s="20">
        <v>70.97</v>
      </c>
      <c r="Q10" s="20">
        <v>72.209999999999994</v>
      </c>
      <c r="R10" s="20">
        <v>73.45</v>
      </c>
      <c r="S10" s="20">
        <v>74.69</v>
      </c>
      <c r="T10" s="20">
        <v>75.92</v>
      </c>
      <c r="U10" s="20">
        <v>77.150000000000006</v>
      </c>
      <c r="V10" s="20">
        <v>78.38</v>
      </c>
      <c r="W10" s="20">
        <v>79.61</v>
      </c>
      <c r="X10" s="20">
        <v>80.83</v>
      </c>
      <c r="Y10" s="20">
        <v>82.06</v>
      </c>
      <c r="Z10" s="20"/>
    </row>
    <row r="12" spans="1:29" ht="30">
      <c r="A12" s="33" t="s">
        <v>70</v>
      </c>
      <c r="B12" s="3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29">
      <c r="A13" s="17" t="s">
        <v>49</v>
      </c>
      <c r="B13" s="18">
        <v>70</v>
      </c>
      <c r="C13" s="18">
        <v>72</v>
      </c>
      <c r="D13" s="18">
        <v>74</v>
      </c>
      <c r="E13" s="18">
        <v>76</v>
      </c>
      <c r="F13" s="18">
        <v>78</v>
      </c>
      <c r="G13" s="18">
        <v>80</v>
      </c>
      <c r="H13" s="18">
        <v>82</v>
      </c>
      <c r="I13" s="18">
        <v>84</v>
      </c>
      <c r="J13" s="18">
        <v>86</v>
      </c>
      <c r="K13" s="18">
        <v>88</v>
      </c>
      <c r="L13" s="18">
        <v>90</v>
      </c>
      <c r="M13" s="18">
        <v>92</v>
      </c>
      <c r="N13" s="18">
        <v>94</v>
      </c>
      <c r="O13" s="18">
        <v>96</v>
      </c>
      <c r="P13" s="18">
        <v>98</v>
      </c>
      <c r="Q13" s="18">
        <v>100</v>
      </c>
      <c r="R13" s="18">
        <v>102</v>
      </c>
      <c r="S13" s="18">
        <v>104</v>
      </c>
      <c r="T13" s="18">
        <v>106</v>
      </c>
      <c r="U13" s="18">
        <v>108</v>
      </c>
      <c r="V13" s="18">
        <v>110</v>
      </c>
      <c r="W13" s="18">
        <v>112</v>
      </c>
      <c r="X13" s="18">
        <v>114</v>
      </c>
      <c r="Y13" s="18">
        <v>116</v>
      </c>
      <c r="Z13" s="18">
        <v>118</v>
      </c>
      <c r="AA13" s="18">
        <v>120</v>
      </c>
      <c r="AB13" s="17" t="s">
        <v>37</v>
      </c>
      <c r="AC13" s="17"/>
    </row>
    <row r="14" spans="1:29">
      <c r="A14" s="57" t="s">
        <v>57</v>
      </c>
      <c r="B14" s="39">
        <v>71</v>
      </c>
      <c r="C14" s="39">
        <v>73</v>
      </c>
      <c r="D14" s="39">
        <v>75</v>
      </c>
      <c r="E14" s="64">
        <v>77</v>
      </c>
      <c r="F14" s="64">
        <v>79</v>
      </c>
      <c r="G14" s="43">
        <v>81</v>
      </c>
      <c r="H14" s="65">
        <v>83</v>
      </c>
      <c r="I14" s="39">
        <v>85</v>
      </c>
      <c r="J14" s="39">
        <v>87</v>
      </c>
      <c r="K14" s="20">
        <v>89</v>
      </c>
      <c r="L14" s="20">
        <v>91</v>
      </c>
      <c r="M14" s="20">
        <v>93</v>
      </c>
      <c r="N14" s="20">
        <v>95</v>
      </c>
      <c r="O14" s="39">
        <v>97</v>
      </c>
      <c r="P14" s="39">
        <v>99</v>
      </c>
      <c r="Q14" s="39">
        <v>101</v>
      </c>
      <c r="R14" s="64">
        <v>103</v>
      </c>
      <c r="S14" s="64">
        <v>105</v>
      </c>
      <c r="T14" s="43">
        <v>107</v>
      </c>
      <c r="U14" s="39">
        <v>109</v>
      </c>
      <c r="V14" s="39">
        <v>111</v>
      </c>
      <c r="W14" s="39">
        <v>113</v>
      </c>
      <c r="X14" s="20">
        <v>115</v>
      </c>
      <c r="Y14" s="20">
        <v>117</v>
      </c>
      <c r="Z14" s="20">
        <v>119</v>
      </c>
      <c r="AA14" s="20">
        <v>121</v>
      </c>
      <c r="AB14" s="20">
        <f t="shared" ref="AB14:AB19" si="0">T14-S14</f>
        <v>2</v>
      </c>
      <c r="AC14" s="26">
        <f t="shared" ref="AC14:AC19" si="1">AB14/2.54</f>
        <v>0.78740157480314954</v>
      </c>
    </row>
    <row r="15" spans="1:29">
      <c r="A15" s="57" t="s">
        <v>58</v>
      </c>
      <c r="B15" s="39">
        <v>95.8</v>
      </c>
      <c r="C15" s="39">
        <v>97.8</v>
      </c>
      <c r="D15" s="39">
        <v>99.8</v>
      </c>
      <c r="E15" s="64">
        <v>101.8</v>
      </c>
      <c r="F15" s="64">
        <v>103.8</v>
      </c>
      <c r="G15" s="43">
        <v>105.8</v>
      </c>
      <c r="H15" s="65">
        <v>107.8</v>
      </c>
      <c r="I15" s="39">
        <v>109.8</v>
      </c>
      <c r="J15" s="39">
        <v>111.8</v>
      </c>
      <c r="K15" s="20">
        <v>113.8</v>
      </c>
      <c r="L15" s="20">
        <v>115.8</v>
      </c>
      <c r="M15" s="20">
        <v>117.8</v>
      </c>
      <c r="N15" s="20">
        <v>119.8</v>
      </c>
      <c r="O15" s="39">
        <v>121.8</v>
      </c>
      <c r="P15" s="39">
        <v>123.8</v>
      </c>
      <c r="Q15" s="39">
        <v>125.8</v>
      </c>
      <c r="R15" s="64">
        <v>127.8</v>
      </c>
      <c r="S15" s="64">
        <v>129.80000000000001</v>
      </c>
      <c r="T15" s="43">
        <v>131.80000000000001</v>
      </c>
      <c r="U15" s="39">
        <v>133.80000000000001</v>
      </c>
      <c r="V15" s="39">
        <v>135.80000000000001</v>
      </c>
      <c r="W15" s="39">
        <v>137.80000000000001</v>
      </c>
      <c r="X15" s="20">
        <v>139.80000000000001</v>
      </c>
      <c r="Y15" s="20">
        <v>141.80000000000001</v>
      </c>
      <c r="Z15" s="20">
        <v>143.80000000000001</v>
      </c>
      <c r="AA15" s="20">
        <v>145.80000000000001</v>
      </c>
      <c r="AB15" s="20">
        <f t="shared" si="0"/>
        <v>2</v>
      </c>
      <c r="AC15" s="26">
        <f t="shared" si="1"/>
        <v>0.78740157480314954</v>
      </c>
    </row>
    <row r="16" spans="1:29">
      <c r="A16" s="57" t="s">
        <v>59</v>
      </c>
      <c r="B16" s="39">
        <v>25.5</v>
      </c>
      <c r="C16" s="39">
        <v>25.75</v>
      </c>
      <c r="D16" s="39">
        <v>26</v>
      </c>
      <c r="E16" s="64">
        <v>26.25</v>
      </c>
      <c r="F16" s="64">
        <v>26.5</v>
      </c>
      <c r="G16" s="43">
        <v>26.75</v>
      </c>
      <c r="H16" s="65">
        <v>27</v>
      </c>
      <c r="I16" s="39">
        <v>27.25</v>
      </c>
      <c r="J16" s="39">
        <v>27.5</v>
      </c>
      <c r="K16" s="20">
        <v>27.75</v>
      </c>
      <c r="L16" s="20">
        <v>28</v>
      </c>
      <c r="M16" s="20">
        <v>28.25</v>
      </c>
      <c r="N16" s="20">
        <v>28.5</v>
      </c>
      <c r="O16" s="39">
        <v>28.75</v>
      </c>
      <c r="P16" s="39">
        <v>29</v>
      </c>
      <c r="Q16" s="39">
        <v>29.25</v>
      </c>
      <c r="R16" s="64">
        <v>29.5</v>
      </c>
      <c r="S16" s="64">
        <v>29.75</v>
      </c>
      <c r="T16" s="43">
        <v>30</v>
      </c>
      <c r="U16" s="39">
        <v>30.25</v>
      </c>
      <c r="V16" s="39">
        <v>30.5</v>
      </c>
      <c r="W16" s="39">
        <v>30.75</v>
      </c>
      <c r="X16" s="20">
        <v>31</v>
      </c>
      <c r="Y16" s="20">
        <v>31.25</v>
      </c>
      <c r="Z16" s="20">
        <v>31.5</v>
      </c>
      <c r="AA16" s="20">
        <v>31.75</v>
      </c>
      <c r="AB16" s="20">
        <f t="shared" si="0"/>
        <v>0.25</v>
      </c>
      <c r="AC16" s="26">
        <f t="shared" si="1"/>
        <v>9.8425196850393692E-2</v>
      </c>
    </row>
    <row r="17" spans="1:29">
      <c r="A17" s="57" t="s">
        <v>60</v>
      </c>
      <c r="B17" s="39">
        <v>41</v>
      </c>
      <c r="C17" s="39">
        <v>41.3</v>
      </c>
      <c r="D17" s="39">
        <v>41.6</v>
      </c>
      <c r="E17" s="64">
        <v>41.8</v>
      </c>
      <c r="F17" s="64">
        <v>42.1</v>
      </c>
      <c r="G17" s="43">
        <v>42.4</v>
      </c>
      <c r="H17" s="65">
        <v>42.65</v>
      </c>
      <c r="I17" s="39">
        <v>43.2</v>
      </c>
      <c r="J17" s="39">
        <v>43.65</v>
      </c>
      <c r="K17" s="20">
        <v>44.15</v>
      </c>
      <c r="L17" s="20">
        <v>44.65</v>
      </c>
      <c r="M17" s="20">
        <v>45.15</v>
      </c>
      <c r="N17" s="20">
        <v>45.65</v>
      </c>
      <c r="O17" s="39">
        <v>46.1</v>
      </c>
      <c r="P17" s="39">
        <v>46.6</v>
      </c>
      <c r="Q17" s="39">
        <v>47.1</v>
      </c>
      <c r="R17" s="64">
        <v>47.6</v>
      </c>
      <c r="S17" s="64">
        <v>48.1</v>
      </c>
      <c r="T17" s="43">
        <v>48.6</v>
      </c>
      <c r="U17" s="39">
        <v>49</v>
      </c>
      <c r="V17" s="39">
        <v>49.55</v>
      </c>
      <c r="W17" s="39">
        <v>50</v>
      </c>
      <c r="X17" s="20">
        <v>50.55</v>
      </c>
      <c r="Y17" s="20">
        <v>51</v>
      </c>
      <c r="Z17" s="20">
        <v>51.5</v>
      </c>
      <c r="AA17" s="20">
        <v>52</v>
      </c>
      <c r="AB17" s="20">
        <f t="shared" si="0"/>
        <v>0.5</v>
      </c>
      <c r="AC17" s="26">
        <f t="shared" si="1"/>
        <v>0.19685039370078738</v>
      </c>
    </row>
    <row r="18" spans="1:29">
      <c r="A18" s="57" t="s">
        <v>61</v>
      </c>
      <c r="B18" s="39">
        <v>22.4</v>
      </c>
      <c r="C18" s="39">
        <v>22.7</v>
      </c>
      <c r="D18" s="39">
        <v>23</v>
      </c>
      <c r="E18" s="64">
        <v>23.3</v>
      </c>
      <c r="F18" s="64">
        <v>23.6</v>
      </c>
      <c r="G18" s="43">
        <v>23.9</v>
      </c>
      <c r="H18" s="65">
        <v>24.2</v>
      </c>
      <c r="I18" s="39">
        <v>24.5</v>
      </c>
      <c r="J18" s="39">
        <v>24.8</v>
      </c>
      <c r="K18" s="20">
        <v>25.1</v>
      </c>
      <c r="L18" s="20">
        <v>25.4</v>
      </c>
      <c r="M18" s="20">
        <v>25.7</v>
      </c>
      <c r="N18" s="20">
        <v>26</v>
      </c>
      <c r="O18" s="39">
        <v>26.3</v>
      </c>
      <c r="P18" s="39">
        <v>26.6</v>
      </c>
      <c r="Q18" s="39">
        <v>26.9</v>
      </c>
      <c r="R18" s="64">
        <v>27.2</v>
      </c>
      <c r="S18" s="64">
        <v>27.5</v>
      </c>
      <c r="T18" s="43">
        <v>27.8</v>
      </c>
      <c r="U18" s="39">
        <v>28.1</v>
      </c>
      <c r="V18" s="39">
        <v>28.4</v>
      </c>
      <c r="W18" s="39">
        <v>28.7</v>
      </c>
      <c r="X18" s="20">
        <v>29</v>
      </c>
      <c r="Y18" s="20">
        <v>29.3</v>
      </c>
      <c r="Z18" s="20">
        <v>29.6</v>
      </c>
      <c r="AA18" s="20">
        <v>29.9</v>
      </c>
      <c r="AB18" s="20">
        <f t="shared" si="0"/>
        <v>0.30000000000000071</v>
      </c>
      <c r="AC18" s="26">
        <f t="shared" si="1"/>
        <v>0.11811023622047272</v>
      </c>
    </row>
    <row r="19" spans="1:29">
      <c r="A19" s="57" t="s">
        <v>62</v>
      </c>
      <c r="B19" s="39">
        <v>19.399999999999999</v>
      </c>
      <c r="C19" s="39">
        <v>19.600000000000001</v>
      </c>
      <c r="D19" s="39">
        <v>19.8</v>
      </c>
      <c r="E19" s="64">
        <v>20</v>
      </c>
      <c r="F19" s="64">
        <v>20.2</v>
      </c>
      <c r="G19" s="43">
        <v>20.399999999999999</v>
      </c>
      <c r="H19" s="65">
        <v>20.6</v>
      </c>
      <c r="I19" s="39">
        <v>20.8</v>
      </c>
      <c r="J19" s="39">
        <v>21</v>
      </c>
      <c r="K19" s="20">
        <v>21.2</v>
      </c>
      <c r="L19" s="20">
        <v>21.4</v>
      </c>
      <c r="M19" s="20">
        <v>21.6</v>
      </c>
      <c r="N19" s="20">
        <v>21.8</v>
      </c>
      <c r="O19" s="39">
        <v>22</v>
      </c>
      <c r="P19" s="39">
        <v>22.2</v>
      </c>
      <c r="Q19" s="39">
        <v>22.4</v>
      </c>
      <c r="R19" s="64">
        <v>22.6</v>
      </c>
      <c r="S19" s="64">
        <v>22.8</v>
      </c>
      <c r="T19" s="43">
        <v>23</v>
      </c>
      <c r="U19" s="39">
        <v>23.2</v>
      </c>
      <c r="V19" s="39">
        <v>23.4</v>
      </c>
      <c r="W19" s="39">
        <v>23.6</v>
      </c>
      <c r="X19" s="20">
        <v>23.8</v>
      </c>
      <c r="Y19" s="20">
        <v>24</v>
      </c>
      <c r="Z19" s="20">
        <v>24.2</v>
      </c>
      <c r="AA19" s="20">
        <v>24.4</v>
      </c>
      <c r="AB19" s="20">
        <f t="shared" si="0"/>
        <v>0.19999999999999929</v>
      </c>
      <c r="AC19" s="26">
        <f t="shared" si="1"/>
        <v>7.8740157480314682E-2</v>
      </c>
    </row>
    <row r="20" spans="1:29" ht="18" thickBot="1">
      <c r="A20" s="57" t="s">
        <v>63</v>
      </c>
      <c r="B20" s="39">
        <v>103</v>
      </c>
      <c r="C20" s="39">
        <v>103.3</v>
      </c>
      <c r="D20" s="39">
        <v>103.6</v>
      </c>
      <c r="E20" s="67">
        <v>103.8</v>
      </c>
      <c r="F20" s="67">
        <v>104</v>
      </c>
      <c r="G20" s="43">
        <v>104.4</v>
      </c>
      <c r="H20" s="65">
        <v>104.6</v>
      </c>
      <c r="I20" s="39">
        <v>104.9</v>
      </c>
      <c r="J20" s="39">
        <v>105.2</v>
      </c>
      <c r="K20" s="39">
        <v>105.45</v>
      </c>
      <c r="L20" s="39">
        <v>105.7</v>
      </c>
      <c r="M20" s="39">
        <v>106</v>
      </c>
      <c r="N20" s="39">
        <v>106.25</v>
      </c>
      <c r="O20" s="39">
        <v>106.5</v>
      </c>
      <c r="P20" s="39">
        <v>106.8</v>
      </c>
      <c r="Q20" s="39">
        <v>107</v>
      </c>
      <c r="R20" s="67">
        <v>107.3</v>
      </c>
      <c r="S20" s="67">
        <v>107.6</v>
      </c>
      <c r="T20" s="43">
        <v>107.8</v>
      </c>
      <c r="U20" s="39">
        <v>108.1</v>
      </c>
      <c r="V20" s="39">
        <v>108.4</v>
      </c>
      <c r="W20" s="39">
        <v>108.7</v>
      </c>
      <c r="X20" s="39">
        <v>108.95</v>
      </c>
      <c r="Y20" s="39">
        <v>109.2</v>
      </c>
      <c r="Z20" s="39">
        <v>109.5</v>
      </c>
      <c r="AA20" s="39">
        <v>106.75</v>
      </c>
      <c r="AB20" s="20" t="s">
        <v>46</v>
      </c>
      <c r="AC20" s="26" t="s">
        <v>46</v>
      </c>
    </row>
    <row r="21" spans="1:29" ht="18" thickBot="1">
      <c r="A21" s="57" t="s">
        <v>65</v>
      </c>
      <c r="B21" s="20">
        <v>58.3</v>
      </c>
      <c r="C21" s="20">
        <v>59.1</v>
      </c>
      <c r="D21" s="20">
        <v>60</v>
      </c>
      <c r="E21" s="20">
        <v>60.8</v>
      </c>
      <c r="F21" s="20">
        <v>61.6</v>
      </c>
      <c r="G21" s="69">
        <v>62.4</v>
      </c>
      <c r="H21" s="70">
        <v>63.2</v>
      </c>
      <c r="I21" s="20">
        <v>64.25</v>
      </c>
      <c r="J21" s="20">
        <v>65.25</v>
      </c>
      <c r="K21" s="20">
        <v>66.25</v>
      </c>
      <c r="L21" s="20">
        <v>67.2</v>
      </c>
      <c r="M21" s="20">
        <v>68.2</v>
      </c>
      <c r="N21" s="20">
        <v>69.2</v>
      </c>
      <c r="O21" s="20">
        <v>70.2</v>
      </c>
      <c r="P21" s="20">
        <v>71.2</v>
      </c>
      <c r="Q21" s="20">
        <v>72.2</v>
      </c>
      <c r="R21" s="20">
        <v>73.2</v>
      </c>
      <c r="S21" s="20">
        <v>74.150000000000006</v>
      </c>
      <c r="T21" s="69">
        <v>75.150000000000006</v>
      </c>
      <c r="U21" s="24">
        <v>76.099999999999994</v>
      </c>
      <c r="V21" s="20">
        <v>77.099999999999994</v>
      </c>
      <c r="W21" s="20">
        <v>78</v>
      </c>
      <c r="X21" s="20">
        <v>79</v>
      </c>
      <c r="Y21" s="20">
        <v>80</v>
      </c>
      <c r="Z21" s="20">
        <v>81</v>
      </c>
      <c r="AA21" s="20">
        <v>82</v>
      </c>
      <c r="AB21" s="20">
        <v>0.95</v>
      </c>
      <c r="AC21" s="26" t="s">
        <v>46</v>
      </c>
    </row>
    <row r="23" spans="1:29" ht="31" thickBot="1">
      <c r="A23" s="71" t="s">
        <v>71</v>
      </c>
      <c r="B23" s="72"/>
      <c r="C23" s="16"/>
      <c r="D23" s="16"/>
      <c r="E23" s="16"/>
      <c r="F23" s="16"/>
      <c r="G23" s="16"/>
      <c r="H23" s="16"/>
      <c r="I23" s="16"/>
      <c r="J23" s="16"/>
      <c r="K23" s="16"/>
    </row>
    <row r="24" spans="1:29">
      <c r="A24" s="17" t="s">
        <v>49</v>
      </c>
      <c r="B24" s="18">
        <v>76</v>
      </c>
      <c r="C24" s="18">
        <v>78</v>
      </c>
      <c r="D24" s="18">
        <v>80</v>
      </c>
      <c r="E24" s="18">
        <v>82</v>
      </c>
      <c r="F24" s="36">
        <v>84</v>
      </c>
      <c r="G24" s="38">
        <v>86</v>
      </c>
      <c r="H24" s="18">
        <v>88</v>
      </c>
      <c r="I24" s="18">
        <v>90</v>
      </c>
      <c r="J24" s="18">
        <v>92</v>
      </c>
      <c r="K24" s="18">
        <v>94</v>
      </c>
      <c r="L24" s="18">
        <v>96</v>
      </c>
      <c r="M24" s="18">
        <v>98</v>
      </c>
      <c r="N24" s="18">
        <v>100</v>
      </c>
      <c r="O24" s="18">
        <v>102</v>
      </c>
      <c r="P24" s="18">
        <v>104</v>
      </c>
      <c r="Q24" s="18">
        <v>106</v>
      </c>
      <c r="R24" s="18">
        <v>108</v>
      </c>
      <c r="S24" s="18">
        <v>110</v>
      </c>
      <c r="T24" s="50" t="s">
        <v>37</v>
      </c>
    </row>
    <row r="25" spans="1:29">
      <c r="A25" s="57" t="s">
        <v>57</v>
      </c>
      <c r="B25" s="20">
        <v>78</v>
      </c>
      <c r="C25" s="20">
        <v>80</v>
      </c>
      <c r="D25" s="20">
        <v>82</v>
      </c>
      <c r="E25" s="20">
        <v>84</v>
      </c>
      <c r="F25" s="53">
        <v>86</v>
      </c>
      <c r="G25" s="24">
        <v>88</v>
      </c>
      <c r="H25" s="20">
        <v>90</v>
      </c>
      <c r="I25" s="20">
        <v>92</v>
      </c>
      <c r="J25" s="20">
        <v>94</v>
      </c>
      <c r="K25" s="20">
        <v>96</v>
      </c>
      <c r="L25" s="20">
        <v>98</v>
      </c>
      <c r="M25" s="20">
        <v>100</v>
      </c>
      <c r="N25" s="20">
        <v>102</v>
      </c>
      <c r="O25" s="20">
        <v>104</v>
      </c>
      <c r="P25" s="20">
        <v>106</v>
      </c>
      <c r="Q25" s="20">
        <v>108</v>
      </c>
      <c r="R25" s="20">
        <v>110</v>
      </c>
      <c r="S25" s="20">
        <v>112</v>
      </c>
      <c r="T25" s="20">
        <v>2</v>
      </c>
    </row>
    <row r="26" spans="1:29">
      <c r="A26" s="57" t="s">
        <v>58</v>
      </c>
      <c r="B26" s="20">
        <v>97</v>
      </c>
      <c r="C26" s="20">
        <v>99</v>
      </c>
      <c r="D26" s="20">
        <v>101</v>
      </c>
      <c r="E26" s="20">
        <v>103</v>
      </c>
      <c r="F26" s="53">
        <v>105</v>
      </c>
      <c r="G26" s="24">
        <v>107</v>
      </c>
      <c r="H26" s="20">
        <v>109</v>
      </c>
      <c r="I26" s="20">
        <v>111</v>
      </c>
      <c r="J26" s="20">
        <v>113</v>
      </c>
      <c r="K26" s="20">
        <v>115</v>
      </c>
      <c r="L26" s="20">
        <v>117</v>
      </c>
      <c r="M26" s="20">
        <v>119</v>
      </c>
      <c r="N26" s="20">
        <v>121</v>
      </c>
      <c r="O26" s="20">
        <v>123</v>
      </c>
      <c r="P26" s="20">
        <v>125</v>
      </c>
      <c r="Q26" s="20">
        <v>127</v>
      </c>
      <c r="R26" s="20">
        <v>129</v>
      </c>
      <c r="S26" s="20">
        <v>131</v>
      </c>
      <c r="T26" s="20">
        <v>2</v>
      </c>
    </row>
    <row r="27" spans="1:29">
      <c r="A27" s="57" t="s">
        <v>59</v>
      </c>
      <c r="B27" s="20">
        <v>25</v>
      </c>
      <c r="C27" s="20">
        <v>25.25</v>
      </c>
      <c r="D27" s="20">
        <v>25.5</v>
      </c>
      <c r="E27" s="20">
        <v>25.75</v>
      </c>
      <c r="F27" s="53">
        <v>26</v>
      </c>
      <c r="G27" s="24">
        <v>26.25</v>
      </c>
      <c r="H27" s="20">
        <v>26.5</v>
      </c>
      <c r="I27" s="20">
        <v>26.75</v>
      </c>
      <c r="J27" s="20">
        <v>27</v>
      </c>
      <c r="K27" s="20">
        <v>27.25</v>
      </c>
      <c r="L27" s="20">
        <v>27.5</v>
      </c>
      <c r="M27" s="20">
        <v>27.75</v>
      </c>
      <c r="N27" s="20">
        <v>28</v>
      </c>
      <c r="O27" s="20">
        <v>28.25</v>
      </c>
      <c r="P27" s="20">
        <v>28.5</v>
      </c>
      <c r="Q27" s="20">
        <v>28.75</v>
      </c>
      <c r="R27" s="20">
        <v>29</v>
      </c>
      <c r="S27" s="20">
        <v>29.25</v>
      </c>
      <c r="T27" s="20">
        <v>0.25</v>
      </c>
    </row>
    <row r="28" spans="1:29">
      <c r="A28" s="57" t="s">
        <v>60</v>
      </c>
      <c r="B28" s="20">
        <v>39.299999999999997</v>
      </c>
      <c r="C28" s="20">
        <v>39.75</v>
      </c>
      <c r="D28" s="20">
        <v>40.1</v>
      </c>
      <c r="E28" s="20">
        <v>40.5</v>
      </c>
      <c r="F28" s="53">
        <v>41</v>
      </c>
      <c r="G28" s="24">
        <v>41.7</v>
      </c>
      <c r="H28" s="20">
        <v>42.3</v>
      </c>
      <c r="I28" s="20">
        <v>42.9</v>
      </c>
      <c r="J28" s="20">
        <v>43.7</v>
      </c>
      <c r="K28" s="20">
        <v>44.5</v>
      </c>
      <c r="L28" s="20">
        <v>45.3</v>
      </c>
      <c r="M28" s="20">
        <v>46.1</v>
      </c>
      <c r="N28" s="20">
        <v>46.9</v>
      </c>
      <c r="O28" s="20">
        <v>47.4</v>
      </c>
      <c r="P28" s="20">
        <v>48.25</v>
      </c>
      <c r="Q28" s="20">
        <v>49</v>
      </c>
      <c r="R28" s="20">
        <v>49.75</v>
      </c>
      <c r="S28" s="20">
        <v>50.5</v>
      </c>
      <c r="T28" s="20">
        <v>0.25</v>
      </c>
    </row>
    <row r="29" spans="1:29">
      <c r="A29" s="57" t="s">
        <v>61</v>
      </c>
      <c r="B29" s="20">
        <v>21.3</v>
      </c>
      <c r="C29" s="20">
        <v>21.6</v>
      </c>
      <c r="D29" s="20">
        <v>21.9</v>
      </c>
      <c r="E29" s="20">
        <v>22.2</v>
      </c>
      <c r="F29" s="53">
        <v>22.5</v>
      </c>
      <c r="G29" s="24">
        <v>22.8</v>
      </c>
      <c r="H29" s="20">
        <v>23.1</v>
      </c>
      <c r="I29" s="20">
        <v>23.4</v>
      </c>
      <c r="J29" s="20">
        <v>23.7</v>
      </c>
      <c r="K29" s="20">
        <v>24</v>
      </c>
      <c r="L29" s="20">
        <v>24.3</v>
      </c>
      <c r="M29" s="20">
        <v>24.6</v>
      </c>
      <c r="N29" s="20">
        <v>24.9</v>
      </c>
      <c r="O29" s="20">
        <v>25.2</v>
      </c>
      <c r="P29" s="20">
        <v>25.5</v>
      </c>
      <c r="Q29" s="20">
        <v>25.8</v>
      </c>
      <c r="R29" s="20">
        <v>26.1</v>
      </c>
      <c r="S29" s="20">
        <v>26.4</v>
      </c>
      <c r="T29" s="20">
        <v>0.3</v>
      </c>
    </row>
    <row r="30" spans="1:29">
      <c r="A30" s="57" t="s">
        <v>62</v>
      </c>
      <c r="B30" s="20">
        <v>19.7</v>
      </c>
      <c r="C30" s="20">
        <v>19.899999999999999</v>
      </c>
      <c r="D30" s="20">
        <v>20.100000000000001</v>
      </c>
      <c r="E30" s="20">
        <v>20.3</v>
      </c>
      <c r="F30" s="53">
        <v>20.5</v>
      </c>
      <c r="G30" s="24">
        <v>20.7</v>
      </c>
      <c r="H30" s="20">
        <v>20.9</v>
      </c>
      <c r="I30" s="20">
        <v>21.1</v>
      </c>
      <c r="J30" s="20">
        <v>21.3</v>
      </c>
      <c r="K30" s="20">
        <v>21.5</v>
      </c>
      <c r="L30" s="20">
        <v>21.7</v>
      </c>
      <c r="M30" s="20">
        <v>21.9</v>
      </c>
      <c r="N30" s="20">
        <v>22.1</v>
      </c>
      <c r="O30" s="20">
        <v>22.3</v>
      </c>
      <c r="P30" s="20">
        <v>22.5</v>
      </c>
      <c r="Q30" s="20">
        <v>22.7</v>
      </c>
      <c r="R30" s="20">
        <v>22.9</v>
      </c>
      <c r="S30" s="20">
        <v>23.1</v>
      </c>
      <c r="T30" s="20">
        <v>0.2</v>
      </c>
    </row>
    <row r="31" spans="1:29" ht="18" thickBot="1">
      <c r="A31" s="57" t="s">
        <v>63</v>
      </c>
      <c r="B31" s="20">
        <v>102.4</v>
      </c>
      <c r="C31" s="20">
        <v>102.7</v>
      </c>
      <c r="D31" s="20">
        <v>103</v>
      </c>
      <c r="E31" s="20">
        <v>103.2</v>
      </c>
      <c r="F31" s="69">
        <v>103.5</v>
      </c>
      <c r="G31" s="24">
        <v>103.7</v>
      </c>
      <c r="H31" s="20">
        <v>104</v>
      </c>
      <c r="I31" s="20">
        <v>104.2</v>
      </c>
      <c r="J31" s="20">
        <v>104.5</v>
      </c>
      <c r="K31" s="20">
        <v>104.8</v>
      </c>
      <c r="L31" s="20">
        <v>105</v>
      </c>
      <c r="M31" s="20">
        <v>105.3</v>
      </c>
      <c r="N31" s="20">
        <v>105.6</v>
      </c>
      <c r="O31" s="20">
        <v>105.8</v>
      </c>
      <c r="P31" s="20">
        <v>106.1</v>
      </c>
      <c r="Q31" s="20">
        <v>106.4</v>
      </c>
      <c r="R31" s="20">
        <v>106.6</v>
      </c>
      <c r="S31" s="20">
        <v>106.9</v>
      </c>
      <c r="T31" s="20" t="s">
        <v>46</v>
      </c>
    </row>
    <row r="32" spans="1:29" ht="18" thickBot="1">
      <c r="A32" s="57" t="s">
        <v>65</v>
      </c>
      <c r="B32" s="20">
        <v>58.2</v>
      </c>
      <c r="C32" s="20">
        <v>59.2</v>
      </c>
      <c r="D32" s="20">
        <v>60</v>
      </c>
      <c r="E32" s="20">
        <v>61</v>
      </c>
      <c r="F32" s="69">
        <v>62.1</v>
      </c>
      <c r="G32" s="24">
        <v>63.3</v>
      </c>
      <c r="H32" s="20">
        <v>64.45</v>
      </c>
      <c r="I32" s="20">
        <v>65.599999999999994</v>
      </c>
      <c r="J32" s="20">
        <v>66.849999999999994</v>
      </c>
      <c r="K32" s="20">
        <v>68.099999999999994</v>
      </c>
      <c r="L32" s="20">
        <v>69.400000000000006</v>
      </c>
      <c r="M32" s="20">
        <v>70.7</v>
      </c>
      <c r="N32" s="20">
        <v>72</v>
      </c>
      <c r="O32" s="20">
        <v>73</v>
      </c>
      <c r="P32" s="20">
        <v>74.2</v>
      </c>
      <c r="Q32" s="20">
        <v>75.5</v>
      </c>
      <c r="R32" s="20">
        <v>76.7</v>
      </c>
      <c r="S32" s="20">
        <v>77.900000000000006</v>
      </c>
      <c r="T32" s="20">
        <v>1.2</v>
      </c>
    </row>
    <row r="33" spans="1:2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23" ht="30">
      <c r="A34" s="14" t="s">
        <v>72</v>
      </c>
      <c r="B34" s="15"/>
      <c r="C34" s="15"/>
      <c r="D34" s="16"/>
      <c r="E34" s="16"/>
      <c r="F34" s="16"/>
      <c r="G34" s="16"/>
      <c r="H34" s="16"/>
      <c r="I34" s="16"/>
      <c r="J34" s="16"/>
      <c r="K34" s="16"/>
      <c r="L34" s="16"/>
    </row>
    <row r="35" spans="1:23">
      <c r="A35" s="17" t="s">
        <v>35</v>
      </c>
      <c r="B35" s="18">
        <v>70</v>
      </c>
      <c r="C35" s="18">
        <v>72</v>
      </c>
      <c r="D35" s="18">
        <v>74</v>
      </c>
      <c r="E35" s="18">
        <v>76</v>
      </c>
      <c r="F35" s="18">
        <v>78</v>
      </c>
      <c r="G35" s="18">
        <v>80</v>
      </c>
      <c r="H35" s="31">
        <v>82</v>
      </c>
      <c r="I35" s="18">
        <v>84</v>
      </c>
      <c r="J35" s="18">
        <v>86</v>
      </c>
      <c r="K35" s="18">
        <v>88</v>
      </c>
      <c r="L35" s="18">
        <v>90</v>
      </c>
      <c r="M35" s="18">
        <v>92</v>
      </c>
      <c r="N35" s="18">
        <v>94</v>
      </c>
      <c r="O35" s="18">
        <v>96</v>
      </c>
      <c r="P35" s="18">
        <v>98</v>
      </c>
      <c r="Q35" s="18">
        <v>100</v>
      </c>
      <c r="R35" s="18">
        <v>102</v>
      </c>
      <c r="S35" s="18">
        <v>104</v>
      </c>
      <c r="T35" s="18">
        <v>106</v>
      </c>
      <c r="U35" s="18">
        <v>108</v>
      </c>
      <c r="V35" s="18">
        <v>110</v>
      </c>
      <c r="W35" s="17" t="s">
        <v>37</v>
      </c>
    </row>
    <row r="36" spans="1:23">
      <c r="A36" s="57" t="s">
        <v>57</v>
      </c>
      <c r="B36" s="20">
        <v>72</v>
      </c>
      <c r="C36" s="20">
        <v>74</v>
      </c>
      <c r="D36" s="20">
        <v>76</v>
      </c>
      <c r="E36" s="20">
        <v>78</v>
      </c>
      <c r="F36" s="20">
        <v>80</v>
      </c>
      <c r="G36" s="20">
        <v>82</v>
      </c>
      <c r="H36" s="58">
        <v>84</v>
      </c>
      <c r="I36" s="24">
        <v>86</v>
      </c>
      <c r="J36" s="24">
        <v>88</v>
      </c>
      <c r="K36" s="20">
        <v>90</v>
      </c>
      <c r="L36" s="20">
        <v>92</v>
      </c>
      <c r="M36" s="20">
        <v>94</v>
      </c>
      <c r="N36" s="20">
        <v>96</v>
      </c>
      <c r="O36" s="20">
        <v>98</v>
      </c>
      <c r="P36" s="20">
        <v>100</v>
      </c>
      <c r="Q36" s="20">
        <v>102</v>
      </c>
      <c r="R36" s="20">
        <v>104</v>
      </c>
      <c r="S36" s="20">
        <v>106</v>
      </c>
      <c r="T36" s="20">
        <v>108</v>
      </c>
      <c r="U36" s="20">
        <v>110</v>
      </c>
      <c r="V36" s="20">
        <v>112</v>
      </c>
      <c r="W36" s="20">
        <f>V36-U36</f>
        <v>2</v>
      </c>
    </row>
    <row r="37" spans="1:23">
      <c r="A37" s="57" t="s">
        <v>58</v>
      </c>
      <c r="B37" s="20">
        <v>88</v>
      </c>
      <c r="C37" s="20">
        <v>90</v>
      </c>
      <c r="D37" s="20">
        <v>92</v>
      </c>
      <c r="E37" s="20">
        <v>94</v>
      </c>
      <c r="F37" s="20">
        <v>96</v>
      </c>
      <c r="G37" s="20">
        <v>98</v>
      </c>
      <c r="H37" s="58">
        <v>100</v>
      </c>
      <c r="I37" s="24">
        <v>102</v>
      </c>
      <c r="J37" s="24">
        <v>104</v>
      </c>
      <c r="K37" s="20">
        <v>106</v>
      </c>
      <c r="L37" s="20">
        <v>108</v>
      </c>
      <c r="M37" s="20">
        <v>110</v>
      </c>
      <c r="N37" s="20">
        <v>112</v>
      </c>
      <c r="O37" s="20">
        <v>114</v>
      </c>
      <c r="P37" s="20">
        <v>116</v>
      </c>
      <c r="Q37" s="20">
        <v>118</v>
      </c>
      <c r="R37" s="20">
        <v>120</v>
      </c>
      <c r="S37" s="20">
        <v>122</v>
      </c>
      <c r="T37" s="20">
        <v>124</v>
      </c>
      <c r="U37" s="20">
        <v>126</v>
      </c>
      <c r="V37" s="20">
        <v>128</v>
      </c>
      <c r="W37" s="20">
        <f>V37-U37</f>
        <v>2</v>
      </c>
    </row>
    <row r="38" spans="1:23">
      <c r="A38" s="57" t="s">
        <v>59</v>
      </c>
      <c r="B38" s="20">
        <v>21.25</v>
      </c>
      <c r="C38" s="20">
        <v>21.5</v>
      </c>
      <c r="D38" s="20">
        <v>21.75</v>
      </c>
      <c r="E38" s="20">
        <v>22</v>
      </c>
      <c r="F38" s="20">
        <v>22.25</v>
      </c>
      <c r="G38" s="20">
        <v>22.5</v>
      </c>
      <c r="H38" s="58">
        <v>22.75</v>
      </c>
      <c r="I38" s="24">
        <v>23</v>
      </c>
      <c r="J38" s="24">
        <v>23.25</v>
      </c>
      <c r="K38" s="20">
        <v>23.5</v>
      </c>
      <c r="L38" s="20">
        <v>23.75</v>
      </c>
      <c r="M38" s="20">
        <v>24</v>
      </c>
      <c r="N38" s="20">
        <v>24.25</v>
      </c>
      <c r="O38" s="20">
        <v>24.5</v>
      </c>
      <c r="P38" s="20">
        <v>24.75</v>
      </c>
      <c r="Q38" s="20">
        <v>25</v>
      </c>
      <c r="R38" s="20">
        <v>25.25</v>
      </c>
      <c r="S38" s="20">
        <v>25.5</v>
      </c>
      <c r="T38" s="20">
        <v>25.75</v>
      </c>
      <c r="U38" s="20">
        <v>26</v>
      </c>
      <c r="V38" s="20">
        <v>26.25</v>
      </c>
      <c r="W38" s="20">
        <f>V38-U38</f>
        <v>0.25</v>
      </c>
    </row>
    <row r="39" spans="1:23">
      <c r="A39" s="57" t="s">
        <v>60</v>
      </c>
      <c r="B39" s="20">
        <v>38.25</v>
      </c>
      <c r="C39" s="20">
        <v>38.5</v>
      </c>
      <c r="D39" s="20">
        <v>38.75</v>
      </c>
      <c r="E39" s="20">
        <v>39</v>
      </c>
      <c r="F39" s="20">
        <v>39.25</v>
      </c>
      <c r="G39" s="53">
        <v>39.5</v>
      </c>
      <c r="H39" s="60">
        <v>39.75</v>
      </c>
      <c r="I39" s="24">
        <v>40.32</v>
      </c>
      <c r="J39" s="20">
        <v>40.85</v>
      </c>
      <c r="K39" s="20">
        <v>41.35</v>
      </c>
      <c r="L39" s="20">
        <v>41.85</v>
      </c>
      <c r="M39" s="20">
        <v>42.6</v>
      </c>
      <c r="N39" s="20">
        <v>43.3</v>
      </c>
      <c r="O39" s="20">
        <v>44</v>
      </c>
      <c r="P39" s="20">
        <v>44.7</v>
      </c>
      <c r="Q39" s="20">
        <v>45.4</v>
      </c>
      <c r="R39" s="20">
        <v>46.2</v>
      </c>
      <c r="S39" s="20">
        <v>46.92</v>
      </c>
      <c r="T39" s="20">
        <v>47.63</v>
      </c>
      <c r="U39" s="20">
        <v>48.34</v>
      </c>
      <c r="V39" s="20">
        <v>49</v>
      </c>
      <c r="W39" s="20"/>
    </row>
    <row r="40" spans="1:23">
      <c r="A40" s="57" t="s">
        <v>61</v>
      </c>
      <c r="B40" s="20">
        <v>19.7</v>
      </c>
      <c r="C40" s="20">
        <v>20</v>
      </c>
      <c r="D40" s="20">
        <v>20.3</v>
      </c>
      <c r="E40" s="20">
        <v>20.6</v>
      </c>
      <c r="F40" s="20">
        <v>20.9</v>
      </c>
      <c r="G40" s="20">
        <v>21.2</v>
      </c>
      <c r="H40" s="58">
        <v>21.5</v>
      </c>
      <c r="I40" s="24">
        <v>21.8</v>
      </c>
      <c r="J40" s="24">
        <v>22.1</v>
      </c>
      <c r="K40" s="20">
        <v>22.4</v>
      </c>
      <c r="L40" s="20">
        <v>22.7</v>
      </c>
      <c r="M40" s="20">
        <v>23</v>
      </c>
      <c r="N40" s="20">
        <v>23.3</v>
      </c>
      <c r="O40" s="20">
        <v>23.6</v>
      </c>
      <c r="P40" s="20">
        <v>23.9</v>
      </c>
      <c r="Q40" s="20">
        <v>24.2</v>
      </c>
      <c r="R40" s="20">
        <v>24.5</v>
      </c>
      <c r="S40" s="20">
        <v>24.8</v>
      </c>
      <c r="T40" s="20">
        <v>25.1</v>
      </c>
      <c r="U40" s="20">
        <v>25.4</v>
      </c>
      <c r="V40" s="20">
        <v>25.7</v>
      </c>
      <c r="W40" s="20">
        <f>V40-U40</f>
        <v>0.30000000000000071</v>
      </c>
    </row>
    <row r="41" spans="1:23">
      <c r="A41" s="57" t="s">
        <v>62</v>
      </c>
      <c r="B41" s="20">
        <v>18.3</v>
      </c>
      <c r="C41" s="20">
        <v>18.5</v>
      </c>
      <c r="D41" s="20">
        <v>18.7</v>
      </c>
      <c r="E41" s="20">
        <v>18.899999999999999</v>
      </c>
      <c r="F41" s="20">
        <v>19.100000000000001</v>
      </c>
      <c r="G41" s="20">
        <v>19.3</v>
      </c>
      <c r="H41" s="58">
        <v>19.5</v>
      </c>
      <c r="I41" s="24">
        <v>19.7</v>
      </c>
      <c r="J41" s="24">
        <v>19.899999999999999</v>
      </c>
      <c r="K41" s="20">
        <v>20.100000000000001</v>
      </c>
      <c r="L41" s="20">
        <v>20.3</v>
      </c>
      <c r="M41" s="20">
        <v>20.5</v>
      </c>
      <c r="N41" s="20">
        <v>20.7</v>
      </c>
      <c r="O41" s="20">
        <v>20.9</v>
      </c>
      <c r="P41" s="20">
        <v>21.1</v>
      </c>
      <c r="Q41" s="20">
        <v>21.3</v>
      </c>
      <c r="R41" s="20">
        <v>21.5</v>
      </c>
      <c r="S41" s="20">
        <v>21.7</v>
      </c>
      <c r="T41" s="20">
        <v>21.9</v>
      </c>
      <c r="U41" s="20">
        <v>22.1</v>
      </c>
      <c r="V41" s="20">
        <v>22.3</v>
      </c>
      <c r="W41" s="20">
        <f>V41-U41</f>
        <v>0.19999999999999929</v>
      </c>
    </row>
    <row r="42" spans="1:23" ht="18" thickBot="1">
      <c r="A42" s="57" t="s">
        <v>63</v>
      </c>
      <c r="B42" s="20">
        <v>104.4</v>
      </c>
      <c r="C42" s="20">
        <v>105.2</v>
      </c>
      <c r="D42" s="20">
        <v>105.4</v>
      </c>
      <c r="E42" s="20">
        <v>105.7</v>
      </c>
      <c r="F42" s="20">
        <v>106</v>
      </c>
      <c r="G42" s="20">
        <v>106.2</v>
      </c>
      <c r="H42" s="62">
        <v>106.5</v>
      </c>
      <c r="I42" s="24">
        <v>106.7</v>
      </c>
      <c r="J42" s="20">
        <v>107</v>
      </c>
      <c r="K42" s="20">
        <v>107.3</v>
      </c>
      <c r="L42" s="20">
        <v>107.5</v>
      </c>
      <c r="M42" s="20">
        <v>107.8</v>
      </c>
      <c r="N42" s="20">
        <v>108</v>
      </c>
      <c r="O42" s="20">
        <v>108.3</v>
      </c>
      <c r="P42" s="20">
        <v>108.6</v>
      </c>
      <c r="Q42" s="20">
        <v>108.8</v>
      </c>
      <c r="R42" s="20">
        <v>109.1</v>
      </c>
      <c r="S42" s="20">
        <v>109.4</v>
      </c>
      <c r="T42" s="20">
        <v>109.6</v>
      </c>
      <c r="U42" s="20">
        <v>109.9</v>
      </c>
      <c r="V42" s="20">
        <v>110.1</v>
      </c>
      <c r="W42" s="20"/>
    </row>
    <row r="43" spans="1:23" ht="18" thickBot="1">
      <c r="A43" s="57" t="s">
        <v>64</v>
      </c>
      <c r="B43" s="20">
        <v>54.4</v>
      </c>
      <c r="C43" s="20">
        <v>55.35</v>
      </c>
      <c r="D43" s="20">
        <v>56.3</v>
      </c>
      <c r="E43" s="20">
        <v>57.2</v>
      </c>
      <c r="F43" s="20">
        <v>58.15</v>
      </c>
      <c r="G43" s="20">
        <v>59</v>
      </c>
      <c r="H43" s="62">
        <v>60</v>
      </c>
      <c r="I43" s="24">
        <v>61.1</v>
      </c>
      <c r="J43" s="20">
        <v>62.3</v>
      </c>
      <c r="K43" s="20">
        <v>63.5</v>
      </c>
      <c r="L43" s="20">
        <v>64.599999999999994</v>
      </c>
      <c r="M43" s="20">
        <v>66</v>
      </c>
      <c r="N43" s="20">
        <v>67.2</v>
      </c>
      <c r="O43" s="20">
        <v>68.25</v>
      </c>
      <c r="P43" s="20">
        <v>69.55</v>
      </c>
      <c r="Q43" s="20">
        <v>70.849999999999994</v>
      </c>
      <c r="R43" s="20">
        <v>72</v>
      </c>
      <c r="S43" s="20">
        <v>73.3</v>
      </c>
      <c r="T43" s="20">
        <v>74.599999999999994</v>
      </c>
      <c r="U43" s="20">
        <v>75.900000000000006</v>
      </c>
      <c r="V43" s="20">
        <v>77.099999999999994</v>
      </c>
      <c r="W43" s="20"/>
    </row>
    <row r="44" spans="1:23" ht="18" thickBot="1">
      <c r="A44" s="57"/>
      <c r="B44" s="20"/>
      <c r="C44" s="20"/>
      <c r="D44" s="20"/>
      <c r="E44" s="20"/>
      <c r="F44" s="20"/>
      <c r="G44" s="20"/>
      <c r="H44" s="62"/>
      <c r="I44" s="24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ht="30">
      <c r="A45" s="14" t="s">
        <v>73</v>
      </c>
      <c r="B45" s="15"/>
      <c r="C45" s="15"/>
      <c r="D45" s="16"/>
      <c r="E45" s="16"/>
      <c r="F45" s="16"/>
      <c r="G45" s="16"/>
      <c r="H45" s="16"/>
      <c r="I45" s="16"/>
      <c r="J45" s="16"/>
      <c r="K45" s="16"/>
      <c r="L45" s="16"/>
    </row>
    <row r="46" spans="1:23">
      <c r="A46" s="17" t="s">
        <v>35</v>
      </c>
      <c r="B46" s="18">
        <v>70</v>
      </c>
      <c r="C46" s="18">
        <v>72</v>
      </c>
      <c r="D46" s="18">
        <v>74</v>
      </c>
      <c r="E46" s="18">
        <v>76</v>
      </c>
      <c r="F46" s="18">
        <v>78</v>
      </c>
      <c r="G46" s="18">
        <v>80</v>
      </c>
      <c r="H46" s="31">
        <v>82</v>
      </c>
      <c r="I46" s="18">
        <v>84</v>
      </c>
      <c r="J46" s="18">
        <v>86</v>
      </c>
      <c r="K46" s="18">
        <v>88</v>
      </c>
      <c r="L46" s="18">
        <v>90</v>
      </c>
      <c r="M46" s="18">
        <v>92</v>
      </c>
      <c r="N46" s="18">
        <v>94</v>
      </c>
      <c r="O46" s="18">
        <v>96</v>
      </c>
      <c r="P46" s="18">
        <v>98</v>
      </c>
      <c r="Q46" s="18">
        <v>100</v>
      </c>
      <c r="R46" s="18">
        <v>102</v>
      </c>
      <c r="S46" s="18">
        <v>104</v>
      </c>
      <c r="T46" s="18">
        <v>106</v>
      </c>
      <c r="U46" s="18">
        <v>108</v>
      </c>
      <c r="V46" s="18">
        <v>110</v>
      </c>
      <c r="W46" s="17" t="s">
        <v>37</v>
      </c>
    </row>
    <row r="47" spans="1:23">
      <c r="A47" s="57" t="s">
        <v>57</v>
      </c>
      <c r="B47" s="20">
        <v>72</v>
      </c>
      <c r="C47" s="20">
        <v>74</v>
      </c>
      <c r="D47" s="20">
        <v>76</v>
      </c>
      <c r="E47" s="20">
        <v>78</v>
      </c>
      <c r="F47" s="20">
        <v>80</v>
      </c>
      <c r="G47" s="20">
        <v>82</v>
      </c>
      <c r="H47" s="58">
        <v>84</v>
      </c>
      <c r="I47" s="24">
        <v>86</v>
      </c>
      <c r="J47" s="24">
        <v>88</v>
      </c>
      <c r="K47" s="20">
        <v>90</v>
      </c>
      <c r="L47" s="20">
        <v>92</v>
      </c>
      <c r="M47" s="20">
        <v>94</v>
      </c>
      <c r="N47" s="20">
        <v>96</v>
      </c>
      <c r="O47" s="20">
        <v>98</v>
      </c>
      <c r="P47" s="20">
        <v>100</v>
      </c>
      <c r="Q47" s="20">
        <v>102</v>
      </c>
      <c r="R47" s="20">
        <v>104</v>
      </c>
      <c r="S47" s="20">
        <v>106</v>
      </c>
      <c r="T47" s="20">
        <v>108</v>
      </c>
      <c r="U47" s="20">
        <v>110</v>
      </c>
      <c r="V47" s="20">
        <v>112</v>
      </c>
      <c r="W47" s="20">
        <f>V47-U47</f>
        <v>2</v>
      </c>
    </row>
    <row r="48" spans="1:23">
      <c r="A48" s="57" t="s">
        <v>58</v>
      </c>
      <c r="B48" s="20">
        <v>93</v>
      </c>
      <c r="C48" s="20">
        <v>95</v>
      </c>
      <c r="D48" s="20">
        <v>97</v>
      </c>
      <c r="E48" s="20">
        <v>99</v>
      </c>
      <c r="F48" s="20">
        <v>101</v>
      </c>
      <c r="G48" s="20">
        <v>103</v>
      </c>
      <c r="H48" s="58">
        <v>105</v>
      </c>
      <c r="I48" s="24">
        <v>107</v>
      </c>
      <c r="J48" s="24">
        <v>109</v>
      </c>
      <c r="K48" s="20">
        <v>111</v>
      </c>
      <c r="L48" s="20">
        <v>113</v>
      </c>
      <c r="M48" s="20">
        <v>115</v>
      </c>
      <c r="N48" s="20">
        <v>117</v>
      </c>
      <c r="O48" s="20">
        <v>119</v>
      </c>
      <c r="P48" s="20">
        <v>121</v>
      </c>
      <c r="Q48" s="20">
        <v>123</v>
      </c>
      <c r="R48" s="20">
        <v>125</v>
      </c>
      <c r="S48" s="20">
        <v>127</v>
      </c>
      <c r="T48" s="20">
        <v>129</v>
      </c>
      <c r="U48" s="20">
        <v>131</v>
      </c>
      <c r="V48" s="20">
        <v>133</v>
      </c>
      <c r="W48" s="20">
        <f>V48-U48</f>
        <v>2</v>
      </c>
    </row>
    <row r="49" spans="1:25">
      <c r="A49" s="57" t="s">
        <v>59</v>
      </c>
      <c r="B49" s="20">
        <v>21.25</v>
      </c>
      <c r="C49" s="20">
        <v>21.5</v>
      </c>
      <c r="D49" s="20">
        <v>21.75</v>
      </c>
      <c r="E49" s="20">
        <v>22</v>
      </c>
      <c r="F49" s="20">
        <v>22.25</v>
      </c>
      <c r="G49" s="20">
        <v>22.5</v>
      </c>
      <c r="H49" s="58">
        <v>22.75</v>
      </c>
      <c r="I49" s="24">
        <v>23</v>
      </c>
      <c r="J49" s="24">
        <v>23.25</v>
      </c>
      <c r="K49" s="20">
        <v>23.5</v>
      </c>
      <c r="L49" s="20">
        <v>23.75</v>
      </c>
      <c r="M49" s="20">
        <v>24</v>
      </c>
      <c r="N49" s="20">
        <v>24.25</v>
      </c>
      <c r="O49" s="20">
        <v>24.5</v>
      </c>
      <c r="P49" s="20">
        <v>24.75</v>
      </c>
      <c r="Q49" s="20">
        <v>25</v>
      </c>
      <c r="R49" s="20">
        <v>25.25</v>
      </c>
      <c r="S49" s="20">
        <v>25.5</v>
      </c>
      <c r="T49" s="20">
        <v>25.75</v>
      </c>
      <c r="U49" s="20">
        <v>26</v>
      </c>
      <c r="V49" s="20">
        <v>26.25</v>
      </c>
      <c r="W49" s="20">
        <f>V49-U49</f>
        <v>0.25</v>
      </c>
    </row>
    <row r="50" spans="1:25">
      <c r="A50" s="57" t="s">
        <v>60</v>
      </c>
      <c r="B50" s="20">
        <v>38.25</v>
      </c>
      <c r="C50" s="20">
        <v>38.5</v>
      </c>
      <c r="D50" s="20">
        <v>38.75</v>
      </c>
      <c r="E50" s="20">
        <v>39</v>
      </c>
      <c r="F50" s="20">
        <v>39.25</v>
      </c>
      <c r="G50" s="53">
        <v>39.5</v>
      </c>
      <c r="H50" s="60">
        <v>39.75</v>
      </c>
      <c r="I50" s="24">
        <v>40.32</v>
      </c>
      <c r="J50" s="20">
        <v>40.85</v>
      </c>
      <c r="K50" s="20">
        <v>41.35</v>
      </c>
      <c r="L50" s="20">
        <v>41.85</v>
      </c>
      <c r="M50" s="20">
        <v>42.6</v>
      </c>
      <c r="N50" s="20">
        <v>43.3</v>
      </c>
      <c r="O50" s="20">
        <v>44</v>
      </c>
      <c r="P50" s="20">
        <v>44.7</v>
      </c>
      <c r="Q50" s="20">
        <v>45.4</v>
      </c>
      <c r="R50" s="20">
        <v>46.2</v>
      </c>
      <c r="S50" s="20">
        <v>46.92</v>
      </c>
      <c r="T50" s="20">
        <v>47.63</v>
      </c>
      <c r="U50" s="20">
        <v>48.34</v>
      </c>
      <c r="V50" s="20">
        <v>49</v>
      </c>
      <c r="W50" s="20"/>
    </row>
    <row r="51" spans="1:25">
      <c r="A51" s="57" t="s">
        <v>61</v>
      </c>
      <c r="B51" s="20">
        <v>19.7</v>
      </c>
      <c r="C51" s="20">
        <v>20</v>
      </c>
      <c r="D51" s="20">
        <v>20.3</v>
      </c>
      <c r="E51" s="20">
        <v>20.6</v>
      </c>
      <c r="F51" s="20">
        <v>20.9</v>
      </c>
      <c r="G51" s="20">
        <v>21.2</v>
      </c>
      <c r="H51" s="58">
        <v>21.5</v>
      </c>
      <c r="I51" s="24">
        <v>21.8</v>
      </c>
      <c r="J51" s="24">
        <v>22.1</v>
      </c>
      <c r="K51" s="20">
        <v>22.4</v>
      </c>
      <c r="L51" s="20">
        <v>22.7</v>
      </c>
      <c r="M51" s="20">
        <v>23</v>
      </c>
      <c r="N51" s="20">
        <v>23.3</v>
      </c>
      <c r="O51" s="20">
        <v>23.6</v>
      </c>
      <c r="P51" s="20">
        <v>23.9</v>
      </c>
      <c r="Q51" s="20">
        <v>24.2</v>
      </c>
      <c r="R51" s="20">
        <v>24.5</v>
      </c>
      <c r="S51" s="20">
        <v>24.8</v>
      </c>
      <c r="T51" s="20">
        <v>25.1</v>
      </c>
      <c r="U51" s="20">
        <v>25.4</v>
      </c>
      <c r="V51" s="20">
        <v>25.7</v>
      </c>
      <c r="W51" s="20">
        <f>V51-U51</f>
        <v>0.30000000000000071</v>
      </c>
    </row>
    <row r="52" spans="1:25">
      <c r="A52" s="57" t="s">
        <v>62</v>
      </c>
      <c r="B52" s="20">
        <v>18.3</v>
      </c>
      <c r="C52" s="20">
        <v>18.5</v>
      </c>
      <c r="D52" s="20">
        <v>18.7</v>
      </c>
      <c r="E52" s="20">
        <v>18.899999999999999</v>
      </c>
      <c r="F52" s="20">
        <v>19.100000000000001</v>
      </c>
      <c r="G52" s="20">
        <v>19.3</v>
      </c>
      <c r="H52" s="58">
        <v>19.5</v>
      </c>
      <c r="I52" s="24">
        <v>19.7</v>
      </c>
      <c r="J52" s="24">
        <v>19.899999999999999</v>
      </c>
      <c r="K52" s="20">
        <v>20.100000000000001</v>
      </c>
      <c r="L52" s="20">
        <v>20.3</v>
      </c>
      <c r="M52" s="20">
        <v>20.5</v>
      </c>
      <c r="N52" s="20">
        <v>20.7</v>
      </c>
      <c r="O52" s="20">
        <v>20.9</v>
      </c>
      <c r="P52" s="20">
        <v>21.1</v>
      </c>
      <c r="Q52" s="20">
        <v>21.3</v>
      </c>
      <c r="R52" s="20">
        <v>21.5</v>
      </c>
      <c r="S52" s="20">
        <v>21.7</v>
      </c>
      <c r="T52" s="20">
        <v>21.9</v>
      </c>
      <c r="U52" s="20">
        <v>22.1</v>
      </c>
      <c r="V52" s="20">
        <v>22.3</v>
      </c>
      <c r="W52" s="20">
        <f>V52-U52</f>
        <v>0.19999999999999929</v>
      </c>
    </row>
    <row r="53" spans="1:25" ht="18" thickBot="1">
      <c r="A53" s="57" t="s">
        <v>63</v>
      </c>
      <c r="B53" s="20">
        <v>104.4</v>
      </c>
      <c r="C53" s="20">
        <v>105.2</v>
      </c>
      <c r="D53" s="20">
        <v>105.4</v>
      </c>
      <c r="E53" s="20">
        <v>105.7</v>
      </c>
      <c r="F53" s="20">
        <v>106</v>
      </c>
      <c r="G53" s="20">
        <v>106.2</v>
      </c>
      <c r="H53" s="62">
        <v>106.5</v>
      </c>
      <c r="I53" s="24">
        <v>106.7</v>
      </c>
      <c r="J53" s="20">
        <v>107</v>
      </c>
      <c r="K53" s="20">
        <v>107.3</v>
      </c>
      <c r="L53" s="20">
        <v>107.5</v>
      </c>
      <c r="M53" s="20">
        <v>107.8</v>
      </c>
      <c r="N53" s="20">
        <v>108</v>
      </c>
      <c r="O53" s="20">
        <v>108.3</v>
      </c>
      <c r="P53" s="20">
        <v>108.6</v>
      </c>
      <c r="Q53" s="20">
        <v>108.8</v>
      </c>
      <c r="R53" s="20">
        <v>109.1</v>
      </c>
      <c r="S53" s="20">
        <v>109.4</v>
      </c>
      <c r="T53" s="20">
        <v>109.6</v>
      </c>
      <c r="U53" s="20">
        <v>109.9</v>
      </c>
      <c r="V53" s="20">
        <v>110.1</v>
      </c>
      <c r="W53" s="20"/>
    </row>
    <row r="54" spans="1:25" ht="18" thickBot="1">
      <c r="A54" s="57" t="s">
        <v>64</v>
      </c>
      <c r="B54" s="20">
        <v>56.5</v>
      </c>
      <c r="C54" s="20">
        <v>57.4</v>
      </c>
      <c r="D54" s="20">
        <v>58.4</v>
      </c>
      <c r="E54" s="20">
        <v>59.3</v>
      </c>
      <c r="F54" s="20">
        <v>62.2</v>
      </c>
      <c r="G54" s="20">
        <v>61.4</v>
      </c>
      <c r="H54" s="62">
        <v>62.1</v>
      </c>
      <c r="I54" s="24">
        <v>63.2</v>
      </c>
      <c r="J54" s="20">
        <v>64.3</v>
      </c>
      <c r="K54" s="20">
        <v>65.5</v>
      </c>
      <c r="L54" s="20">
        <v>66.599999999999994</v>
      </c>
      <c r="M54" s="20">
        <v>67.900000000000006</v>
      </c>
      <c r="N54" s="20">
        <v>69.2</v>
      </c>
      <c r="O54" s="20">
        <v>70.5</v>
      </c>
      <c r="P54" s="20">
        <v>71.7</v>
      </c>
      <c r="Q54" s="20">
        <v>73</v>
      </c>
      <c r="R54" s="20">
        <v>74.3</v>
      </c>
      <c r="S54" s="20">
        <v>75.5</v>
      </c>
      <c r="T54" s="20">
        <v>76.8</v>
      </c>
      <c r="U54" s="20">
        <v>78.099999999999994</v>
      </c>
      <c r="V54" s="20">
        <v>79.3</v>
      </c>
      <c r="W54" s="20"/>
    </row>
    <row r="55" spans="1:25" ht="18" thickBot="1">
      <c r="A55" s="57"/>
      <c r="B55" s="20"/>
      <c r="C55" s="20"/>
      <c r="D55" s="20"/>
      <c r="E55" s="20"/>
      <c r="F55" s="20"/>
      <c r="G55" s="20"/>
      <c r="H55" s="62"/>
      <c r="I55" s="24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9" spans="1:25" ht="30">
      <c r="A59" s="48" t="s">
        <v>69</v>
      </c>
      <c r="B59" s="50">
        <v>70</v>
      </c>
      <c r="C59" s="50">
        <v>74</v>
      </c>
      <c r="D59" s="50">
        <v>78</v>
      </c>
      <c r="E59" s="55">
        <v>82</v>
      </c>
      <c r="F59" s="50">
        <v>86</v>
      </c>
      <c r="G59" s="50">
        <v>90</v>
      </c>
      <c r="H59" s="50">
        <v>94</v>
      </c>
      <c r="I59" s="50">
        <v>100</v>
      </c>
      <c r="J59" s="50">
        <v>104</v>
      </c>
      <c r="K59" s="50">
        <v>108</v>
      </c>
      <c r="L59" s="50">
        <v>112</v>
      </c>
      <c r="M59" s="50">
        <v>116</v>
      </c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 ht="30">
      <c r="A60" s="33" t="s">
        <v>70</v>
      </c>
      <c r="B60" s="50">
        <v>70</v>
      </c>
      <c r="C60" s="50">
        <v>74</v>
      </c>
      <c r="D60" s="50">
        <v>78</v>
      </c>
      <c r="E60" s="55">
        <v>82</v>
      </c>
      <c r="F60" s="50">
        <v>86</v>
      </c>
      <c r="G60" s="50">
        <v>90</v>
      </c>
      <c r="H60" s="50">
        <v>94</v>
      </c>
      <c r="I60" s="50">
        <v>100</v>
      </c>
      <c r="J60" s="50">
        <v>104</v>
      </c>
      <c r="K60" s="50">
        <v>108</v>
      </c>
      <c r="L60" s="50">
        <v>112</v>
      </c>
      <c r="M60" s="50">
        <v>116</v>
      </c>
      <c r="N60" s="73">
        <v>120</v>
      </c>
    </row>
    <row r="61" spans="1:25" ht="30">
      <c r="A61" s="71" t="s">
        <v>71</v>
      </c>
      <c r="B61" s="50">
        <v>76</v>
      </c>
      <c r="C61" s="50">
        <v>80</v>
      </c>
      <c r="D61" s="50">
        <v>84</v>
      </c>
      <c r="E61" s="50">
        <v>88</v>
      </c>
      <c r="F61" s="50">
        <v>92</v>
      </c>
      <c r="G61" s="50">
        <v>96</v>
      </c>
      <c r="H61" s="51">
        <v>102</v>
      </c>
      <c r="I61" s="51">
        <v>106</v>
      </c>
      <c r="J61" s="51">
        <v>110</v>
      </c>
      <c r="K61" s="50"/>
    </row>
    <row r="62" spans="1:25" ht="30">
      <c r="A62" s="14" t="s">
        <v>72</v>
      </c>
      <c r="B62" s="50">
        <v>70</v>
      </c>
      <c r="C62" s="50">
        <v>74</v>
      </c>
      <c r="D62" s="50">
        <v>78</v>
      </c>
      <c r="E62" s="55">
        <v>82</v>
      </c>
      <c r="F62" s="50">
        <v>86</v>
      </c>
      <c r="G62" s="50">
        <v>90</v>
      </c>
      <c r="H62" s="50">
        <v>94</v>
      </c>
      <c r="I62" s="50">
        <v>100</v>
      </c>
      <c r="J62" s="50">
        <v>104</v>
      </c>
      <c r="K62" s="50">
        <v>108</v>
      </c>
    </row>
    <row r="63" spans="1:25" ht="30">
      <c r="A63" s="14" t="s">
        <v>73</v>
      </c>
      <c r="B63" s="50">
        <v>70</v>
      </c>
      <c r="C63" s="50">
        <v>74</v>
      </c>
      <c r="D63" s="50">
        <v>78</v>
      </c>
      <c r="E63" s="55">
        <v>82</v>
      </c>
      <c r="F63" s="50">
        <v>86</v>
      </c>
      <c r="G63" s="50">
        <v>90</v>
      </c>
      <c r="H63" s="50">
        <v>94</v>
      </c>
      <c r="I63" s="50">
        <v>100</v>
      </c>
      <c r="J63" s="50">
        <v>104</v>
      </c>
      <c r="K63" s="50">
        <v>108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2"/>
  <sheetViews>
    <sheetView topLeftCell="A52" workbookViewId="0">
      <selection activeCell="AA81" sqref="AA81"/>
    </sheetView>
  </sheetViews>
  <sheetFormatPr baseColWidth="10" defaultColWidth="8.83203125" defaultRowHeight="17"/>
  <cols>
    <col min="1" max="1" width="11.33203125" customWidth="1"/>
  </cols>
  <sheetData>
    <row r="1" spans="1:55" ht="30">
      <c r="A1" s="48" t="s">
        <v>69</v>
      </c>
      <c r="B1" s="49"/>
      <c r="C1" s="4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55">
      <c r="A2" s="17" t="s">
        <v>35</v>
      </c>
      <c r="B2" s="50">
        <v>70</v>
      </c>
      <c r="C2" s="51"/>
      <c r="D2" s="50">
        <v>72</v>
      </c>
      <c r="E2" s="51"/>
      <c r="F2" s="50">
        <v>74</v>
      </c>
      <c r="G2" s="51"/>
      <c r="H2" s="50">
        <v>76</v>
      </c>
      <c r="I2" s="51"/>
      <c r="J2" s="50">
        <v>78</v>
      </c>
      <c r="K2" s="51"/>
      <c r="L2" s="50">
        <v>80</v>
      </c>
      <c r="M2" s="51"/>
      <c r="N2" s="55">
        <v>82</v>
      </c>
      <c r="O2" s="56"/>
      <c r="P2" s="50">
        <v>84</v>
      </c>
      <c r="Q2" s="51"/>
      <c r="R2" s="50">
        <v>86</v>
      </c>
      <c r="S2" s="51"/>
      <c r="T2" s="50">
        <v>88</v>
      </c>
      <c r="U2" s="51"/>
      <c r="V2" s="50">
        <v>90</v>
      </c>
      <c r="W2" s="51"/>
      <c r="X2" s="50">
        <v>92</v>
      </c>
      <c r="Y2" s="51"/>
      <c r="Z2" s="50">
        <v>94</v>
      </c>
      <c r="AA2" s="51"/>
      <c r="AB2" s="50">
        <v>96</v>
      </c>
      <c r="AC2" s="51"/>
      <c r="AD2" s="50">
        <v>98</v>
      </c>
      <c r="AE2" s="51"/>
      <c r="AF2" s="50">
        <v>100</v>
      </c>
      <c r="AG2" s="51"/>
      <c r="AH2" s="50">
        <v>102</v>
      </c>
      <c r="AI2" s="51"/>
      <c r="AJ2" s="50">
        <v>104</v>
      </c>
      <c r="AK2" s="51"/>
      <c r="AL2" s="50">
        <v>106</v>
      </c>
      <c r="AM2" s="51"/>
      <c r="AN2" s="50">
        <v>108</v>
      </c>
      <c r="AO2" s="51"/>
      <c r="AP2" s="50">
        <v>110</v>
      </c>
      <c r="AQ2" s="51"/>
      <c r="AR2" s="50">
        <v>112</v>
      </c>
      <c r="AS2" s="51"/>
      <c r="AT2" s="50">
        <v>114</v>
      </c>
      <c r="AU2" s="51"/>
      <c r="AV2" s="50">
        <v>116</v>
      </c>
      <c r="AW2" s="51"/>
      <c r="AX2" s="17" t="s">
        <v>37</v>
      </c>
      <c r="AY2" s="17"/>
    </row>
    <row r="3" spans="1:55">
      <c r="A3" s="57" t="s">
        <v>57</v>
      </c>
      <c r="B3" s="20">
        <v>72</v>
      </c>
      <c r="C3" s="21">
        <f t="shared" ref="C3:C10" si="0">B3/2.54</f>
        <v>28.346456692913385</v>
      </c>
      <c r="D3" s="20">
        <v>74</v>
      </c>
      <c r="E3" s="21">
        <f t="shared" ref="E3:E10" si="1">D3/2.54</f>
        <v>29.133858267716533</v>
      </c>
      <c r="F3" s="20">
        <v>76</v>
      </c>
      <c r="G3" s="21">
        <f t="shared" ref="G3:G10" si="2">F3/2.54</f>
        <v>29.921259842519685</v>
      </c>
      <c r="H3" s="20">
        <v>78</v>
      </c>
      <c r="I3" s="21">
        <f t="shared" ref="I3:I10" si="3">H3/2.54</f>
        <v>30.708661417322833</v>
      </c>
      <c r="J3" s="20">
        <v>80</v>
      </c>
      <c r="K3" s="21">
        <f t="shared" ref="K3:K10" si="4">J3/2.54</f>
        <v>31.496062992125985</v>
      </c>
      <c r="L3" s="20">
        <v>82</v>
      </c>
      <c r="M3" s="25">
        <f t="shared" ref="M3:M10" si="5">L3/2.54</f>
        <v>32.283464566929133</v>
      </c>
      <c r="N3" s="58">
        <v>84</v>
      </c>
      <c r="O3" s="59">
        <f t="shared" ref="O3:O10" si="6">N3/2.54</f>
        <v>33.070866141732282</v>
      </c>
      <c r="P3" s="24">
        <v>86</v>
      </c>
      <c r="Q3" s="21">
        <f t="shared" ref="Q3:Q10" si="7">P3/2.54</f>
        <v>33.85826771653543</v>
      </c>
      <c r="R3" s="24">
        <v>88</v>
      </c>
      <c r="S3" s="21">
        <f t="shared" ref="S3:S10" si="8">R3/2.54</f>
        <v>34.645669291338585</v>
      </c>
      <c r="T3" s="20">
        <v>90</v>
      </c>
      <c r="U3" s="21">
        <f t="shared" ref="U3:U10" si="9">T3/2.54</f>
        <v>35.433070866141733</v>
      </c>
      <c r="V3" s="20">
        <v>92</v>
      </c>
      <c r="W3" s="21">
        <f t="shared" ref="W3:W10" si="10">V3/2.54</f>
        <v>36.220472440944881</v>
      </c>
      <c r="X3" s="20">
        <v>94</v>
      </c>
      <c r="Y3" s="21">
        <f t="shared" ref="Y3:Y10" si="11">X3/2.54</f>
        <v>37.00787401574803</v>
      </c>
      <c r="Z3" s="20">
        <v>96</v>
      </c>
      <c r="AA3" s="21">
        <f t="shared" ref="AA3:AA10" si="12">Z3/2.54</f>
        <v>37.795275590551178</v>
      </c>
      <c r="AB3" s="20">
        <v>98</v>
      </c>
      <c r="AC3" s="21">
        <f t="shared" ref="AC3:AC10" si="13">AB3/2.54</f>
        <v>38.582677165354333</v>
      </c>
      <c r="AD3" s="20">
        <v>100</v>
      </c>
      <c r="AE3" s="21">
        <f t="shared" ref="AE3:AE10" si="14">AD3/2.54</f>
        <v>39.370078740157481</v>
      </c>
      <c r="AF3" s="20">
        <v>102</v>
      </c>
      <c r="AG3" s="21">
        <f t="shared" ref="AG3:AG10" si="15">AF3/2.54</f>
        <v>40.15748031496063</v>
      </c>
      <c r="AH3" s="20">
        <v>104</v>
      </c>
      <c r="AI3" s="21">
        <f t="shared" ref="AI3:AI10" si="16">AH3/2.54</f>
        <v>40.944881889763778</v>
      </c>
      <c r="AJ3" s="20">
        <v>106</v>
      </c>
      <c r="AK3" s="21">
        <f t="shared" ref="AK3:AK10" si="17">AJ3/2.54</f>
        <v>41.732283464566926</v>
      </c>
      <c r="AL3" s="20">
        <v>108</v>
      </c>
      <c r="AM3" s="21">
        <f t="shared" ref="AM3:AM9" si="18">AL3/2.54</f>
        <v>42.519685039370081</v>
      </c>
      <c r="AN3" s="20">
        <v>110</v>
      </c>
      <c r="AO3" s="21">
        <f t="shared" ref="AO3:AO9" si="19">AN3/2.54</f>
        <v>43.30708661417323</v>
      </c>
      <c r="AP3" s="20">
        <v>112</v>
      </c>
      <c r="AQ3" s="21">
        <f t="shared" ref="AQ3:AQ9" si="20">AP3/2.54</f>
        <v>44.094488188976378</v>
      </c>
      <c r="AR3" s="20">
        <v>114</v>
      </c>
      <c r="AS3" s="21">
        <f t="shared" ref="AS3:AS9" si="21">AR3/2.54</f>
        <v>44.881889763779526</v>
      </c>
      <c r="AT3" s="20">
        <v>116</v>
      </c>
      <c r="AU3" s="21">
        <f t="shared" ref="AU3:AU9" si="22">AT3/2.54</f>
        <v>45.669291338582674</v>
      </c>
      <c r="AV3" s="20">
        <v>118</v>
      </c>
      <c r="AW3" s="21">
        <f t="shared" ref="AW3:AW9" si="23">AV3/2.54</f>
        <v>46.45669291338583</v>
      </c>
      <c r="AX3" s="20">
        <f>AV3-AT3</f>
        <v>2</v>
      </c>
      <c r="AY3" s="26">
        <f>AX3/2.54</f>
        <v>0.78740157480314954</v>
      </c>
    </row>
    <row r="4" spans="1:55">
      <c r="A4" s="57" t="s">
        <v>58</v>
      </c>
      <c r="B4" s="20">
        <v>89</v>
      </c>
      <c r="C4" s="21">
        <f t="shared" si="0"/>
        <v>35.039370078740156</v>
      </c>
      <c r="D4" s="20">
        <v>91</v>
      </c>
      <c r="E4" s="21">
        <f t="shared" si="1"/>
        <v>35.826771653543304</v>
      </c>
      <c r="F4" s="20">
        <v>93</v>
      </c>
      <c r="G4" s="21">
        <f t="shared" si="2"/>
        <v>36.614173228346459</v>
      </c>
      <c r="H4" s="20">
        <v>95</v>
      </c>
      <c r="I4" s="21">
        <f t="shared" si="3"/>
        <v>37.401574803149607</v>
      </c>
      <c r="J4" s="20">
        <v>97</v>
      </c>
      <c r="K4" s="21">
        <f t="shared" si="4"/>
        <v>38.188976377952756</v>
      </c>
      <c r="L4" s="20">
        <v>99</v>
      </c>
      <c r="M4" s="25">
        <f t="shared" si="5"/>
        <v>38.976377952755904</v>
      </c>
      <c r="N4" s="58">
        <v>101</v>
      </c>
      <c r="O4" s="59">
        <f t="shared" si="6"/>
        <v>39.763779527559052</v>
      </c>
      <c r="P4" s="24">
        <v>103</v>
      </c>
      <c r="Q4" s="21">
        <f t="shared" si="7"/>
        <v>40.551181102362207</v>
      </c>
      <c r="R4" s="24">
        <v>105</v>
      </c>
      <c r="S4" s="21">
        <f t="shared" si="8"/>
        <v>41.338582677165356</v>
      </c>
      <c r="T4" s="20">
        <v>107</v>
      </c>
      <c r="U4" s="21">
        <f t="shared" si="9"/>
        <v>42.125984251968504</v>
      </c>
      <c r="V4" s="20">
        <v>109</v>
      </c>
      <c r="W4" s="21">
        <f t="shared" si="10"/>
        <v>42.913385826771652</v>
      </c>
      <c r="X4" s="20">
        <v>111</v>
      </c>
      <c r="Y4" s="21">
        <f t="shared" si="11"/>
        <v>43.7007874015748</v>
      </c>
      <c r="Z4" s="20">
        <v>113</v>
      </c>
      <c r="AA4" s="21">
        <f t="shared" si="12"/>
        <v>44.488188976377955</v>
      </c>
      <c r="AB4" s="20">
        <v>115</v>
      </c>
      <c r="AC4" s="21">
        <f t="shared" si="13"/>
        <v>45.275590551181104</v>
      </c>
      <c r="AD4" s="20">
        <v>117</v>
      </c>
      <c r="AE4" s="21">
        <f t="shared" si="14"/>
        <v>46.062992125984252</v>
      </c>
      <c r="AF4" s="20">
        <v>119</v>
      </c>
      <c r="AG4" s="21">
        <f t="shared" si="15"/>
        <v>46.8503937007874</v>
      </c>
      <c r="AH4" s="20">
        <v>121</v>
      </c>
      <c r="AI4" s="21">
        <f t="shared" si="16"/>
        <v>47.637795275590548</v>
      </c>
      <c r="AJ4" s="20">
        <v>123</v>
      </c>
      <c r="AK4" s="21">
        <f t="shared" si="17"/>
        <v>48.425196850393704</v>
      </c>
      <c r="AL4" s="20">
        <v>125</v>
      </c>
      <c r="AM4" s="21">
        <f t="shared" si="18"/>
        <v>49.212598425196852</v>
      </c>
      <c r="AN4" s="20">
        <v>127</v>
      </c>
      <c r="AO4" s="21">
        <f t="shared" si="19"/>
        <v>50</v>
      </c>
      <c r="AP4" s="20">
        <v>129</v>
      </c>
      <c r="AQ4" s="21">
        <f t="shared" si="20"/>
        <v>50.787401574803148</v>
      </c>
      <c r="AR4" s="20">
        <v>131</v>
      </c>
      <c r="AS4" s="21">
        <f t="shared" si="21"/>
        <v>51.574803149606296</v>
      </c>
      <c r="AT4" s="20">
        <v>133</v>
      </c>
      <c r="AU4" s="21">
        <f t="shared" si="22"/>
        <v>52.362204724409445</v>
      </c>
      <c r="AV4" s="20">
        <v>135</v>
      </c>
      <c r="AW4" s="21">
        <f t="shared" si="23"/>
        <v>53.1496062992126</v>
      </c>
      <c r="AX4" s="20">
        <f>AV4-AT4</f>
        <v>2</v>
      </c>
      <c r="AY4" s="26">
        <f>AX4/2.54</f>
        <v>0.78740157480314954</v>
      </c>
    </row>
    <row r="5" spans="1:55">
      <c r="A5" s="57" t="s">
        <v>59</v>
      </c>
      <c r="B5" s="20">
        <v>22.3</v>
      </c>
      <c r="C5" s="21">
        <f t="shared" si="0"/>
        <v>8.7795275590551185</v>
      </c>
      <c r="D5" s="20">
        <v>22.55</v>
      </c>
      <c r="E5" s="21">
        <f t="shared" si="1"/>
        <v>8.8779527559055111</v>
      </c>
      <c r="F5" s="20">
        <v>22.8</v>
      </c>
      <c r="G5" s="21">
        <f t="shared" si="2"/>
        <v>8.9763779527559056</v>
      </c>
      <c r="H5" s="20">
        <v>23.05</v>
      </c>
      <c r="I5" s="21">
        <f t="shared" si="3"/>
        <v>9.0748031496063</v>
      </c>
      <c r="J5" s="20">
        <v>23.3</v>
      </c>
      <c r="K5" s="21">
        <f t="shared" si="4"/>
        <v>9.1732283464566926</v>
      </c>
      <c r="L5" s="20">
        <v>23.55</v>
      </c>
      <c r="M5" s="25">
        <f t="shared" si="5"/>
        <v>9.271653543307087</v>
      </c>
      <c r="N5" s="58">
        <v>23.8</v>
      </c>
      <c r="O5" s="59">
        <f t="shared" si="6"/>
        <v>9.3700787401574797</v>
      </c>
      <c r="P5" s="24">
        <v>24.05</v>
      </c>
      <c r="Q5" s="21">
        <f t="shared" si="7"/>
        <v>9.4685039370078741</v>
      </c>
      <c r="R5" s="24">
        <v>24.3</v>
      </c>
      <c r="S5" s="21">
        <f t="shared" si="8"/>
        <v>9.5669291338582685</v>
      </c>
      <c r="T5" s="20">
        <v>24.55</v>
      </c>
      <c r="U5" s="21">
        <f t="shared" si="9"/>
        <v>9.6653543307086611</v>
      </c>
      <c r="V5" s="20">
        <v>24.8</v>
      </c>
      <c r="W5" s="21">
        <f t="shared" si="10"/>
        <v>9.7637795275590555</v>
      </c>
      <c r="X5" s="20">
        <v>25.05</v>
      </c>
      <c r="Y5" s="21">
        <f t="shared" si="11"/>
        <v>9.8622047244094482</v>
      </c>
      <c r="Z5" s="20">
        <v>25.3</v>
      </c>
      <c r="AA5" s="21">
        <f t="shared" si="12"/>
        <v>9.9606299212598426</v>
      </c>
      <c r="AB5" s="20">
        <v>25.55</v>
      </c>
      <c r="AC5" s="21">
        <f t="shared" si="13"/>
        <v>10.059055118110237</v>
      </c>
      <c r="AD5" s="20">
        <v>25.8</v>
      </c>
      <c r="AE5" s="21">
        <f t="shared" si="14"/>
        <v>10.15748031496063</v>
      </c>
      <c r="AF5" s="20">
        <v>26.05</v>
      </c>
      <c r="AG5" s="21">
        <f t="shared" si="15"/>
        <v>10.255905511811024</v>
      </c>
      <c r="AH5" s="20">
        <v>26.3</v>
      </c>
      <c r="AI5" s="21">
        <f t="shared" si="16"/>
        <v>10.354330708661417</v>
      </c>
      <c r="AJ5" s="20">
        <v>26.55</v>
      </c>
      <c r="AK5" s="21">
        <f t="shared" si="17"/>
        <v>10.452755905511811</v>
      </c>
      <c r="AL5" s="20">
        <v>26.8</v>
      </c>
      <c r="AM5" s="21">
        <f t="shared" si="18"/>
        <v>10.551181102362206</v>
      </c>
      <c r="AN5" s="20">
        <v>27.05</v>
      </c>
      <c r="AO5" s="21">
        <f t="shared" si="19"/>
        <v>10.649606299212598</v>
      </c>
      <c r="AP5" s="20">
        <v>27.3</v>
      </c>
      <c r="AQ5" s="21">
        <f t="shared" si="20"/>
        <v>10.748031496062993</v>
      </c>
      <c r="AR5" s="20">
        <v>27.55</v>
      </c>
      <c r="AS5" s="21">
        <f t="shared" si="21"/>
        <v>10.846456692913385</v>
      </c>
      <c r="AT5" s="20">
        <v>27.8</v>
      </c>
      <c r="AU5" s="21">
        <f t="shared" si="22"/>
        <v>10.94488188976378</v>
      </c>
      <c r="AV5" s="20">
        <v>28.05</v>
      </c>
      <c r="AW5" s="21">
        <f t="shared" si="23"/>
        <v>11.043307086614174</v>
      </c>
      <c r="AX5" s="20">
        <f>AV5-AT5</f>
        <v>0.25</v>
      </c>
      <c r="AY5" s="26">
        <f>AX5/2.54</f>
        <v>9.8425196850393692E-2</v>
      </c>
    </row>
    <row r="6" spans="1:55">
      <c r="A6" s="57" t="s">
        <v>60</v>
      </c>
      <c r="B6" s="20">
        <v>38.54</v>
      </c>
      <c r="C6" s="21">
        <f t="shared" si="0"/>
        <v>15.173228346456693</v>
      </c>
      <c r="D6" s="20">
        <v>38.81</v>
      </c>
      <c r="E6" s="21">
        <f t="shared" si="1"/>
        <v>15.279527559055119</v>
      </c>
      <c r="F6" s="20">
        <v>39.08</v>
      </c>
      <c r="G6" s="21">
        <f t="shared" si="2"/>
        <v>15.385826771653543</v>
      </c>
      <c r="H6" s="20">
        <v>39.35</v>
      </c>
      <c r="I6" s="21">
        <f t="shared" si="3"/>
        <v>15.492125984251969</v>
      </c>
      <c r="J6" s="20">
        <v>39.619999999999997</v>
      </c>
      <c r="K6" s="25">
        <f t="shared" si="4"/>
        <v>15.598425196850393</v>
      </c>
      <c r="L6" s="53">
        <v>39.9</v>
      </c>
      <c r="M6" s="27">
        <f t="shared" si="5"/>
        <v>15.708661417322833</v>
      </c>
      <c r="N6" s="60">
        <v>40.18</v>
      </c>
      <c r="O6" s="61">
        <f t="shared" si="6"/>
        <v>15.818897637795276</v>
      </c>
      <c r="P6" s="24">
        <v>40.700000000000003</v>
      </c>
      <c r="Q6" s="21">
        <f t="shared" si="7"/>
        <v>16.023622047244096</v>
      </c>
      <c r="R6" s="20">
        <v>41.22</v>
      </c>
      <c r="S6" s="21">
        <f t="shared" si="8"/>
        <v>16.228346456692911</v>
      </c>
      <c r="T6" s="20">
        <v>41.74</v>
      </c>
      <c r="U6" s="21">
        <f t="shared" si="9"/>
        <v>16.433070866141733</v>
      </c>
      <c r="V6" s="20">
        <v>42.26</v>
      </c>
      <c r="W6" s="21">
        <f t="shared" si="10"/>
        <v>16.637795275590552</v>
      </c>
      <c r="X6" s="20">
        <v>42.96</v>
      </c>
      <c r="Y6" s="21">
        <f t="shared" si="11"/>
        <v>16.913385826771652</v>
      </c>
      <c r="Z6" s="20">
        <v>43.67</v>
      </c>
      <c r="AA6" s="21">
        <f t="shared" si="12"/>
        <v>17.19291338582677</v>
      </c>
      <c r="AB6" s="20">
        <v>44.38</v>
      </c>
      <c r="AC6" s="21">
        <f t="shared" si="13"/>
        <v>17.472440944881889</v>
      </c>
      <c r="AD6" s="20">
        <v>45.09</v>
      </c>
      <c r="AE6" s="21">
        <f t="shared" si="14"/>
        <v>17.751968503937007</v>
      </c>
      <c r="AF6" s="20">
        <v>45.8</v>
      </c>
      <c r="AG6" s="21">
        <f t="shared" si="15"/>
        <v>18.031496062992126</v>
      </c>
      <c r="AH6" s="20">
        <v>46.51</v>
      </c>
      <c r="AI6" s="21">
        <f t="shared" si="16"/>
        <v>18.311023622047244</v>
      </c>
      <c r="AJ6" s="20">
        <v>47.22</v>
      </c>
      <c r="AK6" s="21">
        <f t="shared" si="17"/>
        <v>18.590551181102363</v>
      </c>
      <c r="AL6" s="20">
        <v>47.93</v>
      </c>
      <c r="AM6" s="21">
        <f t="shared" si="18"/>
        <v>18.870078740157481</v>
      </c>
      <c r="AN6" s="20">
        <v>48.64</v>
      </c>
      <c r="AO6" s="21">
        <f t="shared" si="19"/>
        <v>19.1496062992126</v>
      </c>
      <c r="AP6" s="20">
        <v>49.35</v>
      </c>
      <c r="AQ6" s="21">
        <f t="shared" si="20"/>
        <v>19.429133858267718</v>
      </c>
      <c r="AR6" s="20">
        <v>50.06</v>
      </c>
      <c r="AS6" s="21">
        <f t="shared" si="21"/>
        <v>19.708661417322837</v>
      </c>
      <c r="AT6" s="20">
        <v>50.77</v>
      </c>
      <c r="AU6" s="21">
        <f t="shared" si="22"/>
        <v>19.988188976377955</v>
      </c>
      <c r="AV6" s="20">
        <v>51.48</v>
      </c>
      <c r="AW6" s="21">
        <f t="shared" si="23"/>
        <v>20.26771653543307</v>
      </c>
      <c r="AX6" s="20"/>
      <c r="AY6" s="26"/>
    </row>
    <row r="7" spans="1:55">
      <c r="A7" s="57" t="s">
        <v>61</v>
      </c>
      <c r="B7" s="20">
        <v>21.4</v>
      </c>
      <c r="C7" s="21">
        <f t="shared" si="0"/>
        <v>8.4251968503937</v>
      </c>
      <c r="D7" s="20">
        <v>21.7</v>
      </c>
      <c r="E7" s="21">
        <f t="shared" si="1"/>
        <v>8.5433070866141723</v>
      </c>
      <c r="F7" s="20">
        <v>22</v>
      </c>
      <c r="G7" s="21">
        <f t="shared" si="2"/>
        <v>8.6614173228346463</v>
      </c>
      <c r="H7" s="20">
        <v>22.3</v>
      </c>
      <c r="I7" s="21">
        <f t="shared" si="3"/>
        <v>8.7795275590551185</v>
      </c>
      <c r="J7" s="20">
        <v>22.6</v>
      </c>
      <c r="K7" s="21">
        <f t="shared" si="4"/>
        <v>8.8976377952755907</v>
      </c>
      <c r="L7" s="20">
        <v>22.9</v>
      </c>
      <c r="M7" s="25">
        <f t="shared" si="5"/>
        <v>9.015748031496063</v>
      </c>
      <c r="N7" s="58">
        <v>23.2</v>
      </c>
      <c r="O7" s="59">
        <f t="shared" si="6"/>
        <v>9.1338582677165352</v>
      </c>
      <c r="P7" s="24">
        <v>23.5</v>
      </c>
      <c r="Q7" s="21">
        <f t="shared" si="7"/>
        <v>9.2519685039370074</v>
      </c>
      <c r="R7" s="24">
        <v>23.8</v>
      </c>
      <c r="S7" s="21">
        <f t="shared" si="8"/>
        <v>9.3700787401574797</v>
      </c>
      <c r="T7" s="20">
        <v>24.1</v>
      </c>
      <c r="U7" s="21">
        <f t="shared" si="9"/>
        <v>9.4881889763779537</v>
      </c>
      <c r="V7" s="20">
        <v>24.4</v>
      </c>
      <c r="W7" s="21">
        <f t="shared" si="10"/>
        <v>9.6062992125984241</v>
      </c>
      <c r="X7" s="20">
        <v>24.7</v>
      </c>
      <c r="Y7" s="21">
        <f t="shared" si="11"/>
        <v>9.7244094488188964</v>
      </c>
      <c r="Z7" s="20">
        <v>25</v>
      </c>
      <c r="AA7" s="21">
        <f t="shared" si="12"/>
        <v>9.8425196850393704</v>
      </c>
      <c r="AB7" s="20">
        <v>25.3</v>
      </c>
      <c r="AC7" s="21">
        <f t="shared" si="13"/>
        <v>9.9606299212598426</v>
      </c>
      <c r="AD7" s="20">
        <v>25.6</v>
      </c>
      <c r="AE7" s="21">
        <f t="shared" si="14"/>
        <v>10.078740157480315</v>
      </c>
      <c r="AF7" s="20">
        <v>25.9</v>
      </c>
      <c r="AG7" s="21">
        <f t="shared" si="15"/>
        <v>10.196850393700787</v>
      </c>
      <c r="AH7" s="20">
        <v>26.2</v>
      </c>
      <c r="AI7" s="21">
        <f t="shared" si="16"/>
        <v>10.314960629921259</v>
      </c>
      <c r="AJ7" s="20">
        <v>26.5</v>
      </c>
      <c r="AK7" s="21">
        <f t="shared" si="17"/>
        <v>10.433070866141732</v>
      </c>
      <c r="AL7" s="20">
        <v>26.8</v>
      </c>
      <c r="AM7" s="21">
        <f t="shared" si="18"/>
        <v>10.551181102362206</v>
      </c>
      <c r="AN7" s="20">
        <v>27.1</v>
      </c>
      <c r="AO7" s="21">
        <f t="shared" si="19"/>
        <v>10.669291338582678</v>
      </c>
      <c r="AP7" s="20">
        <v>27.4</v>
      </c>
      <c r="AQ7" s="21">
        <f t="shared" si="20"/>
        <v>10.787401574803148</v>
      </c>
      <c r="AR7" s="20">
        <v>27.7</v>
      </c>
      <c r="AS7" s="21">
        <f t="shared" si="21"/>
        <v>10.905511811023622</v>
      </c>
      <c r="AT7" s="20">
        <v>28</v>
      </c>
      <c r="AU7" s="21">
        <f t="shared" si="22"/>
        <v>11.023622047244094</v>
      </c>
      <c r="AV7" s="20">
        <v>28.3</v>
      </c>
      <c r="AW7" s="21">
        <f t="shared" si="23"/>
        <v>11.141732283464567</v>
      </c>
      <c r="AX7" s="20">
        <f>AV7-AT7</f>
        <v>0.30000000000000071</v>
      </c>
      <c r="AY7" s="26">
        <f>AX7/2.54</f>
        <v>0.11811023622047272</v>
      </c>
    </row>
    <row r="8" spans="1:55">
      <c r="A8" s="57" t="s">
        <v>62</v>
      </c>
      <c r="B8" s="20">
        <v>17.8</v>
      </c>
      <c r="C8" s="21">
        <f t="shared" si="0"/>
        <v>7.0078740157480315</v>
      </c>
      <c r="D8" s="20">
        <v>18</v>
      </c>
      <c r="E8" s="21">
        <f t="shared" si="1"/>
        <v>7.0866141732283463</v>
      </c>
      <c r="F8" s="20">
        <v>18.2</v>
      </c>
      <c r="G8" s="21">
        <f t="shared" si="2"/>
        <v>7.1653543307086611</v>
      </c>
      <c r="H8" s="20">
        <v>18.399999999999999</v>
      </c>
      <c r="I8" s="21">
        <f t="shared" si="3"/>
        <v>7.2440944881889759</v>
      </c>
      <c r="J8" s="20">
        <v>18.600000000000001</v>
      </c>
      <c r="K8" s="21">
        <f t="shared" si="4"/>
        <v>7.3228346456692917</v>
      </c>
      <c r="L8" s="20">
        <v>18.8</v>
      </c>
      <c r="M8" s="25">
        <f t="shared" si="5"/>
        <v>7.4015748031496065</v>
      </c>
      <c r="N8" s="58">
        <v>19</v>
      </c>
      <c r="O8" s="59">
        <f t="shared" si="6"/>
        <v>7.4803149606299213</v>
      </c>
      <c r="P8" s="24">
        <v>19.2</v>
      </c>
      <c r="Q8" s="21">
        <f t="shared" si="7"/>
        <v>7.5590551181102361</v>
      </c>
      <c r="R8" s="24">
        <v>19.399999999999999</v>
      </c>
      <c r="S8" s="21">
        <f t="shared" si="8"/>
        <v>7.6377952755905509</v>
      </c>
      <c r="T8" s="20">
        <v>19.600000000000001</v>
      </c>
      <c r="U8" s="21">
        <f t="shared" si="9"/>
        <v>7.7165354330708666</v>
      </c>
      <c r="V8" s="20">
        <v>19.8</v>
      </c>
      <c r="W8" s="21">
        <f t="shared" si="10"/>
        <v>7.7952755905511815</v>
      </c>
      <c r="X8" s="20">
        <v>20</v>
      </c>
      <c r="Y8" s="21">
        <f t="shared" si="11"/>
        <v>7.8740157480314963</v>
      </c>
      <c r="Z8" s="20">
        <v>20.2</v>
      </c>
      <c r="AA8" s="21">
        <f t="shared" si="12"/>
        <v>7.9527559055118102</v>
      </c>
      <c r="AB8" s="20">
        <v>20.399999999999999</v>
      </c>
      <c r="AC8" s="21">
        <f t="shared" si="13"/>
        <v>8.0314960629921259</v>
      </c>
      <c r="AD8" s="20">
        <v>20.6</v>
      </c>
      <c r="AE8" s="21">
        <f t="shared" si="14"/>
        <v>8.1102362204724407</v>
      </c>
      <c r="AF8" s="20">
        <v>20.8</v>
      </c>
      <c r="AG8" s="21">
        <f t="shared" si="15"/>
        <v>8.1889763779527556</v>
      </c>
      <c r="AH8" s="20">
        <v>21</v>
      </c>
      <c r="AI8" s="21">
        <f t="shared" si="16"/>
        <v>8.2677165354330704</v>
      </c>
      <c r="AJ8" s="20">
        <v>21.2</v>
      </c>
      <c r="AK8" s="21">
        <f t="shared" si="17"/>
        <v>8.3464566929133852</v>
      </c>
      <c r="AL8" s="20">
        <v>21.4</v>
      </c>
      <c r="AM8" s="21">
        <f t="shared" si="18"/>
        <v>8.4251968503937</v>
      </c>
      <c r="AN8" s="20">
        <v>21.6</v>
      </c>
      <c r="AO8" s="21">
        <f t="shared" si="19"/>
        <v>8.5039370078740166</v>
      </c>
      <c r="AP8" s="20">
        <v>21.8</v>
      </c>
      <c r="AQ8" s="21">
        <f t="shared" si="20"/>
        <v>8.5826771653543314</v>
      </c>
      <c r="AR8" s="20">
        <v>22</v>
      </c>
      <c r="AS8" s="21">
        <f t="shared" si="21"/>
        <v>8.6614173228346463</v>
      </c>
      <c r="AT8" s="20">
        <v>22.2</v>
      </c>
      <c r="AU8" s="21">
        <f t="shared" si="22"/>
        <v>8.7401574803149611</v>
      </c>
      <c r="AV8" s="20">
        <v>22.4</v>
      </c>
      <c r="AW8" s="21">
        <f t="shared" si="23"/>
        <v>8.8188976377952741</v>
      </c>
      <c r="AX8" s="20">
        <f>AV8-AT8</f>
        <v>0.19999999999999929</v>
      </c>
      <c r="AY8" s="26">
        <f>AX8/2.54</f>
        <v>7.8740157480314682E-2</v>
      </c>
    </row>
    <row r="9" spans="1:55" ht="18" thickBot="1">
      <c r="A9" s="57" t="s">
        <v>63</v>
      </c>
      <c r="B9" s="20">
        <v>104.4</v>
      </c>
      <c r="C9" s="21">
        <f t="shared" si="0"/>
        <v>41.102362204724415</v>
      </c>
      <c r="D9" s="20">
        <v>105.2</v>
      </c>
      <c r="E9" s="21">
        <f t="shared" si="1"/>
        <v>41.417322834645667</v>
      </c>
      <c r="F9" s="20">
        <v>105.4</v>
      </c>
      <c r="G9" s="21">
        <f t="shared" si="2"/>
        <v>41.496062992125985</v>
      </c>
      <c r="H9" s="20">
        <v>105.7</v>
      </c>
      <c r="I9" s="21">
        <f t="shared" si="3"/>
        <v>41.614173228346459</v>
      </c>
      <c r="J9" s="20">
        <v>106</v>
      </c>
      <c r="K9" s="21">
        <f t="shared" si="4"/>
        <v>41.732283464566926</v>
      </c>
      <c r="L9" s="20">
        <v>106.2</v>
      </c>
      <c r="M9" s="25">
        <f t="shared" si="5"/>
        <v>41.811023622047244</v>
      </c>
      <c r="N9" s="62">
        <v>106.5</v>
      </c>
      <c r="O9" s="63">
        <f t="shared" si="6"/>
        <v>41.929133858267718</v>
      </c>
      <c r="P9" s="24">
        <v>106.7</v>
      </c>
      <c r="Q9" s="21">
        <f t="shared" si="7"/>
        <v>42.00787401574803</v>
      </c>
      <c r="R9" s="20">
        <v>107</v>
      </c>
      <c r="S9" s="21">
        <f t="shared" si="8"/>
        <v>42.125984251968504</v>
      </c>
      <c r="T9" s="20">
        <v>107.3</v>
      </c>
      <c r="U9" s="21">
        <f t="shared" si="9"/>
        <v>42.244094488188978</v>
      </c>
      <c r="V9" s="20">
        <v>107.5</v>
      </c>
      <c r="W9" s="21">
        <f t="shared" si="10"/>
        <v>42.322834645669289</v>
      </c>
      <c r="X9" s="20">
        <v>107.8</v>
      </c>
      <c r="Y9" s="21">
        <f t="shared" si="11"/>
        <v>42.440944881889763</v>
      </c>
      <c r="Z9" s="20">
        <v>108</v>
      </c>
      <c r="AA9" s="21">
        <f t="shared" si="12"/>
        <v>42.519685039370081</v>
      </c>
      <c r="AB9" s="20">
        <v>108.3</v>
      </c>
      <c r="AC9" s="21">
        <f t="shared" si="13"/>
        <v>42.637795275590548</v>
      </c>
      <c r="AD9" s="20">
        <v>108.6</v>
      </c>
      <c r="AE9" s="21">
        <f t="shared" si="14"/>
        <v>42.755905511811022</v>
      </c>
      <c r="AF9" s="20">
        <v>108.8</v>
      </c>
      <c r="AG9" s="21">
        <f t="shared" si="15"/>
        <v>42.834645669291334</v>
      </c>
      <c r="AH9" s="20">
        <v>109.1</v>
      </c>
      <c r="AI9" s="21">
        <f t="shared" si="16"/>
        <v>42.952755905511808</v>
      </c>
      <c r="AJ9" s="20">
        <v>109.4</v>
      </c>
      <c r="AK9" s="21">
        <f t="shared" si="17"/>
        <v>43.070866141732282</v>
      </c>
      <c r="AL9" s="20">
        <v>109.6</v>
      </c>
      <c r="AM9" s="21">
        <f t="shared" si="18"/>
        <v>43.149606299212593</v>
      </c>
      <c r="AN9" s="20">
        <v>109.9</v>
      </c>
      <c r="AO9" s="21">
        <f t="shared" si="19"/>
        <v>43.267716535433074</v>
      </c>
      <c r="AP9" s="20">
        <v>110.1</v>
      </c>
      <c r="AQ9" s="21">
        <f t="shared" si="20"/>
        <v>43.346456692913385</v>
      </c>
      <c r="AR9" s="20">
        <v>110.4</v>
      </c>
      <c r="AS9" s="21">
        <f t="shared" si="21"/>
        <v>43.464566929133859</v>
      </c>
      <c r="AT9" s="20">
        <v>110.7</v>
      </c>
      <c r="AU9" s="21">
        <f t="shared" si="22"/>
        <v>43.582677165354333</v>
      </c>
      <c r="AV9" s="20">
        <v>111</v>
      </c>
      <c r="AW9" s="21">
        <f t="shared" si="23"/>
        <v>43.7007874015748</v>
      </c>
      <c r="AX9" s="20" t="s">
        <v>46</v>
      </c>
      <c r="AY9" s="26" t="s">
        <v>46</v>
      </c>
    </row>
    <row r="10" spans="1:55" ht="18" thickBot="1">
      <c r="A10" s="57" t="s">
        <v>64</v>
      </c>
      <c r="B10" s="20">
        <v>56.17</v>
      </c>
      <c r="C10" s="21">
        <f t="shared" si="0"/>
        <v>22.114173228346456</v>
      </c>
      <c r="D10" s="20">
        <v>57.08</v>
      </c>
      <c r="E10" s="21">
        <f t="shared" si="1"/>
        <v>22.472440944881889</v>
      </c>
      <c r="F10" s="20">
        <v>57.99</v>
      </c>
      <c r="G10" s="21">
        <f t="shared" si="2"/>
        <v>22.830708661417322</v>
      </c>
      <c r="H10" s="20">
        <v>58.9</v>
      </c>
      <c r="I10" s="21">
        <f t="shared" si="3"/>
        <v>23.188976377952756</v>
      </c>
      <c r="J10" s="20">
        <v>59.81</v>
      </c>
      <c r="K10" s="21">
        <f t="shared" si="4"/>
        <v>23.547244094488189</v>
      </c>
      <c r="L10" s="20">
        <v>60.71</v>
      </c>
      <c r="M10" s="25">
        <f t="shared" si="5"/>
        <v>23.901574803149607</v>
      </c>
      <c r="N10" s="62">
        <v>61.6</v>
      </c>
      <c r="O10" s="63">
        <f t="shared" si="6"/>
        <v>24.251968503937007</v>
      </c>
      <c r="P10" s="24">
        <v>62.7</v>
      </c>
      <c r="Q10" s="21">
        <f t="shared" si="7"/>
        <v>24.685039370078741</v>
      </c>
      <c r="R10" s="20">
        <v>63.8</v>
      </c>
      <c r="S10" s="21">
        <f t="shared" si="8"/>
        <v>25.11811023622047</v>
      </c>
      <c r="T10" s="20">
        <v>64.900000000000006</v>
      </c>
      <c r="U10" s="21">
        <f t="shared" si="9"/>
        <v>25.551181102362207</v>
      </c>
      <c r="V10" s="20">
        <v>66</v>
      </c>
      <c r="W10" s="21">
        <f t="shared" si="10"/>
        <v>25.984251968503937</v>
      </c>
      <c r="X10" s="20">
        <v>67.239999999999995</v>
      </c>
      <c r="Y10" s="21">
        <f t="shared" si="11"/>
        <v>26.472440944881889</v>
      </c>
      <c r="Z10" s="20">
        <v>68.489999999999995</v>
      </c>
      <c r="AA10" s="21">
        <f t="shared" si="12"/>
        <v>26.964566929133856</v>
      </c>
      <c r="AB10" s="20">
        <v>69.73</v>
      </c>
      <c r="AC10" s="21">
        <f t="shared" si="13"/>
        <v>27.452755905511811</v>
      </c>
      <c r="AD10" s="20">
        <v>70.97</v>
      </c>
      <c r="AE10" s="21">
        <f t="shared" si="14"/>
        <v>27.940944881889763</v>
      </c>
      <c r="AF10" s="20">
        <v>72.209999999999994</v>
      </c>
      <c r="AG10" s="21">
        <f t="shared" si="15"/>
        <v>28.429133858267715</v>
      </c>
      <c r="AH10" s="20">
        <v>73.45</v>
      </c>
      <c r="AI10" s="21">
        <f t="shared" si="16"/>
        <v>28.91732283464567</v>
      </c>
      <c r="AJ10" s="20">
        <v>74.69</v>
      </c>
      <c r="AK10" s="21">
        <f t="shared" si="17"/>
        <v>29.405511811023622</v>
      </c>
      <c r="AL10" s="20">
        <v>75.92</v>
      </c>
      <c r="AM10" s="21">
        <f>AL10/2.54</f>
        <v>29.889763779527559</v>
      </c>
      <c r="AN10" s="20">
        <v>77.150000000000006</v>
      </c>
      <c r="AO10" s="21">
        <f>AN10/2.54</f>
        <v>30.374015748031496</v>
      </c>
      <c r="AP10" s="20">
        <v>78.38</v>
      </c>
      <c r="AQ10" s="21">
        <f>AP10/2.54</f>
        <v>30.85826771653543</v>
      </c>
      <c r="AR10" s="20">
        <v>79.61</v>
      </c>
      <c r="AS10" s="21">
        <f>AR10/2.54</f>
        <v>31.34251968503937</v>
      </c>
      <c r="AT10" s="20">
        <v>80.83</v>
      </c>
      <c r="AU10" s="21">
        <f>AT10/2.54</f>
        <v>31.822834645669289</v>
      </c>
      <c r="AV10" s="20">
        <v>82.06</v>
      </c>
      <c r="AW10" s="21">
        <f>AV10/2.54</f>
        <v>32.30708661417323</v>
      </c>
      <c r="AX10" s="20"/>
      <c r="AY10" s="26" t="s">
        <v>46</v>
      </c>
    </row>
    <row r="12" spans="1:55" ht="30">
      <c r="A12" s="33" t="s">
        <v>70</v>
      </c>
      <c r="B12" s="34"/>
      <c r="C12" s="34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55">
      <c r="A13" s="17" t="s">
        <v>49</v>
      </c>
      <c r="B13" s="18">
        <v>70</v>
      </c>
      <c r="C13" s="19"/>
      <c r="D13" s="18">
        <v>72</v>
      </c>
      <c r="E13" s="19"/>
      <c r="F13" s="18">
        <v>74</v>
      </c>
      <c r="G13" s="19"/>
      <c r="H13" s="18">
        <v>76</v>
      </c>
      <c r="I13" s="19"/>
      <c r="J13" s="18">
        <v>78</v>
      </c>
      <c r="K13" s="19"/>
      <c r="L13" s="18">
        <v>80</v>
      </c>
      <c r="M13" s="19"/>
      <c r="N13" s="18">
        <v>82</v>
      </c>
      <c r="O13" s="19"/>
      <c r="P13" s="18">
        <v>84</v>
      </c>
      <c r="Q13" s="19"/>
      <c r="R13" s="18">
        <v>86</v>
      </c>
      <c r="S13" s="19"/>
      <c r="T13" s="18">
        <v>88</v>
      </c>
      <c r="U13" s="19"/>
      <c r="V13" s="18">
        <v>90</v>
      </c>
      <c r="W13" s="19"/>
      <c r="X13" s="18">
        <v>92</v>
      </c>
      <c r="Y13" s="19"/>
      <c r="Z13" s="18">
        <v>94</v>
      </c>
      <c r="AA13" s="19"/>
      <c r="AB13" s="18">
        <v>96</v>
      </c>
      <c r="AC13" s="19"/>
      <c r="AD13" s="18">
        <v>98</v>
      </c>
      <c r="AE13" s="19"/>
      <c r="AF13" s="18">
        <v>100</v>
      </c>
      <c r="AG13" s="19"/>
      <c r="AH13" s="18">
        <v>102</v>
      </c>
      <c r="AI13" s="19"/>
      <c r="AJ13" s="18">
        <v>104</v>
      </c>
      <c r="AK13" s="19"/>
      <c r="AL13" s="18">
        <v>106</v>
      </c>
      <c r="AM13" s="19"/>
      <c r="AN13" s="18">
        <v>108</v>
      </c>
      <c r="AO13" s="19"/>
      <c r="AP13" s="18">
        <v>110</v>
      </c>
      <c r="AQ13" s="19"/>
      <c r="AR13" s="18">
        <v>112</v>
      </c>
      <c r="AS13" s="19"/>
      <c r="AT13" s="18">
        <v>114</v>
      </c>
      <c r="AU13" s="19"/>
      <c r="AV13" s="18">
        <v>116</v>
      </c>
      <c r="AW13" s="19"/>
      <c r="AX13" s="18">
        <v>118</v>
      </c>
      <c r="AY13" s="19"/>
      <c r="AZ13" s="18">
        <v>120</v>
      </c>
      <c r="BA13" s="19"/>
      <c r="BB13" s="17" t="s">
        <v>37</v>
      </c>
      <c r="BC13" s="17"/>
    </row>
    <row r="14" spans="1:55">
      <c r="A14" s="57" t="s">
        <v>57</v>
      </c>
      <c r="B14" s="39">
        <v>71</v>
      </c>
      <c r="C14" s="21">
        <f>B14/2.54</f>
        <v>27.952755905511811</v>
      </c>
      <c r="D14" s="39">
        <v>73</v>
      </c>
      <c r="E14" s="25">
        <f>D14/2.54</f>
        <v>28.740157480314959</v>
      </c>
      <c r="F14" s="39">
        <v>75</v>
      </c>
      <c r="G14" s="25">
        <f>F14/2.54</f>
        <v>29.527559055118111</v>
      </c>
      <c r="H14" s="64">
        <v>77</v>
      </c>
      <c r="I14" s="27">
        <f t="shared" ref="I14:I21" si="24">H14/2.54</f>
        <v>30.314960629921259</v>
      </c>
      <c r="J14" s="64">
        <v>79</v>
      </c>
      <c r="K14" s="27">
        <f t="shared" ref="K14:K21" si="25">J14/2.54</f>
        <v>31.102362204724407</v>
      </c>
      <c r="L14" s="43">
        <v>81</v>
      </c>
      <c r="M14" s="21">
        <f t="shared" ref="M14:M21" si="26">L14/2.54</f>
        <v>31.889763779527559</v>
      </c>
      <c r="N14" s="65">
        <v>83</v>
      </c>
      <c r="O14" s="66">
        <f t="shared" ref="O14:O21" si="27">N14/2.54</f>
        <v>32.677165354330711</v>
      </c>
      <c r="P14" s="39">
        <v>85</v>
      </c>
      <c r="Q14" s="21">
        <f t="shared" ref="Q14:Q21" si="28">P14/2.54</f>
        <v>33.464566929133859</v>
      </c>
      <c r="R14" s="39">
        <v>87</v>
      </c>
      <c r="S14" s="21">
        <f t="shared" ref="S14:S21" si="29">R14/2.54</f>
        <v>34.251968503937007</v>
      </c>
      <c r="T14" s="20">
        <v>89</v>
      </c>
      <c r="U14" s="21">
        <f t="shared" ref="U14:U21" si="30">T14/2.54</f>
        <v>35.039370078740156</v>
      </c>
      <c r="V14" s="20">
        <v>91</v>
      </c>
      <c r="W14" s="21">
        <f t="shared" ref="W14:W21" si="31">V14/2.54</f>
        <v>35.826771653543304</v>
      </c>
      <c r="X14" s="20">
        <v>93</v>
      </c>
      <c r="Y14" s="21">
        <f t="shared" ref="Y14:Y21" si="32">X14/2.54</f>
        <v>36.614173228346459</v>
      </c>
      <c r="Z14" s="20">
        <v>95</v>
      </c>
      <c r="AA14" s="21">
        <f t="shared" ref="AA14:AA21" si="33">Z14/2.54</f>
        <v>37.401574803149607</v>
      </c>
      <c r="AB14" s="39">
        <v>97</v>
      </c>
      <c r="AC14" s="21">
        <f t="shared" ref="AC14:AC21" si="34">AB14/2.54</f>
        <v>38.188976377952756</v>
      </c>
      <c r="AD14" s="39">
        <v>99</v>
      </c>
      <c r="AE14" s="25">
        <f t="shared" ref="AE14:AE21" si="35">AD14/2.54</f>
        <v>38.976377952755904</v>
      </c>
      <c r="AF14" s="39">
        <v>101</v>
      </c>
      <c r="AG14" s="25">
        <f t="shared" ref="AG14:AG21" si="36">AF14/2.54</f>
        <v>39.763779527559052</v>
      </c>
      <c r="AH14" s="64">
        <v>103</v>
      </c>
      <c r="AI14" s="27">
        <f t="shared" ref="AI14:AI21" si="37">AH14/2.54</f>
        <v>40.551181102362207</v>
      </c>
      <c r="AJ14" s="64">
        <v>105</v>
      </c>
      <c r="AK14" s="27">
        <f t="shared" ref="AK14:AK21" si="38">AJ14/2.54</f>
        <v>41.338582677165356</v>
      </c>
      <c r="AL14" s="43">
        <v>107</v>
      </c>
      <c r="AM14" s="21">
        <f t="shared" ref="AM14:AM21" si="39">AL14/2.54</f>
        <v>42.125984251968504</v>
      </c>
      <c r="AN14" s="39">
        <v>109</v>
      </c>
      <c r="AO14" s="21">
        <f t="shared" ref="AO14:AO20" si="40">AN14/2.54</f>
        <v>42.913385826771652</v>
      </c>
      <c r="AP14" s="39">
        <v>111</v>
      </c>
      <c r="AQ14" s="21">
        <f t="shared" ref="AQ14:AQ21" si="41">AP14/2.54</f>
        <v>43.7007874015748</v>
      </c>
      <c r="AR14" s="39">
        <v>113</v>
      </c>
      <c r="AS14" s="21">
        <f t="shared" ref="AS14:AS21" si="42">AR14/2.54</f>
        <v>44.488188976377955</v>
      </c>
      <c r="AT14" s="20">
        <v>115</v>
      </c>
      <c r="AU14" s="21">
        <f t="shared" ref="AU14:AU21" si="43">AT14/2.54</f>
        <v>45.275590551181104</v>
      </c>
      <c r="AV14" s="20">
        <v>117</v>
      </c>
      <c r="AW14" s="21">
        <f t="shared" ref="AW14:AW21" si="44">AV14/2.54</f>
        <v>46.062992125984252</v>
      </c>
      <c r="AX14" s="20">
        <v>119</v>
      </c>
      <c r="AY14" s="21">
        <f t="shared" ref="AY14:AY21" si="45">AX14/2.54</f>
        <v>46.8503937007874</v>
      </c>
      <c r="AZ14" s="20">
        <v>121</v>
      </c>
      <c r="BA14" s="21">
        <f t="shared" ref="BA14:BA21" si="46">AZ14/2.54</f>
        <v>47.637795275590548</v>
      </c>
      <c r="BB14" s="20">
        <f t="shared" ref="BB14:BB19" si="47">AL14-AJ14</f>
        <v>2</v>
      </c>
      <c r="BC14" s="26">
        <f t="shared" ref="BC14:BC19" si="48">BB14/2.54</f>
        <v>0.78740157480314954</v>
      </c>
    </row>
    <row r="15" spans="1:55">
      <c r="A15" s="57" t="s">
        <v>58</v>
      </c>
      <c r="B15" s="39">
        <v>95.8</v>
      </c>
      <c r="C15" s="21">
        <f t="shared" ref="C15:E21" si="49">B15/2.54</f>
        <v>37.716535433070867</v>
      </c>
      <c r="D15" s="39">
        <v>97.8</v>
      </c>
      <c r="E15" s="25">
        <f t="shared" si="49"/>
        <v>38.503937007874015</v>
      </c>
      <c r="F15" s="39">
        <v>99.8</v>
      </c>
      <c r="G15" s="25">
        <f t="shared" ref="G15:G21" si="50">F15/2.54</f>
        <v>39.291338582677163</v>
      </c>
      <c r="H15" s="64">
        <v>101.8</v>
      </c>
      <c r="I15" s="27">
        <f t="shared" si="24"/>
        <v>40.078740157480311</v>
      </c>
      <c r="J15" s="64">
        <v>103.8</v>
      </c>
      <c r="K15" s="27">
        <f t="shared" si="25"/>
        <v>40.866141732283459</v>
      </c>
      <c r="L15" s="43">
        <v>105.8</v>
      </c>
      <c r="M15" s="21">
        <f t="shared" si="26"/>
        <v>41.653543307086615</v>
      </c>
      <c r="N15" s="65">
        <v>107.8</v>
      </c>
      <c r="O15" s="66">
        <f t="shared" si="27"/>
        <v>42.440944881889763</v>
      </c>
      <c r="P15" s="39">
        <v>109.8</v>
      </c>
      <c r="Q15" s="21">
        <f t="shared" si="28"/>
        <v>43.228346456692911</v>
      </c>
      <c r="R15" s="39">
        <v>111.8</v>
      </c>
      <c r="S15" s="21">
        <f t="shared" si="29"/>
        <v>44.015748031496059</v>
      </c>
      <c r="T15" s="20">
        <v>113.8</v>
      </c>
      <c r="U15" s="21">
        <f t="shared" si="30"/>
        <v>44.803149606299208</v>
      </c>
      <c r="V15" s="20">
        <v>115.8</v>
      </c>
      <c r="W15" s="21">
        <f t="shared" si="31"/>
        <v>45.590551181102363</v>
      </c>
      <c r="X15" s="20">
        <v>117.8</v>
      </c>
      <c r="Y15" s="21">
        <f t="shared" si="32"/>
        <v>46.377952755905511</v>
      </c>
      <c r="Z15" s="20">
        <v>119.8</v>
      </c>
      <c r="AA15" s="21">
        <f t="shared" si="33"/>
        <v>47.165354330708659</v>
      </c>
      <c r="AB15" s="39">
        <v>121.8</v>
      </c>
      <c r="AC15" s="21">
        <f t="shared" si="34"/>
        <v>47.952755905511808</v>
      </c>
      <c r="AD15" s="39">
        <v>123.8</v>
      </c>
      <c r="AE15" s="25">
        <f t="shared" si="35"/>
        <v>48.740157480314956</v>
      </c>
      <c r="AF15" s="39">
        <v>125.8</v>
      </c>
      <c r="AG15" s="25">
        <f t="shared" si="36"/>
        <v>49.527559055118111</v>
      </c>
      <c r="AH15" s="64">
        <v>127.8</v>
      </c>
      <c r="AI15" s="27">
        <f t="shared" si="37"/>
        <v>50.314960629921259</v>
      </c>
      <c r="AJ15" s="64">
        <v>129.80000000000001</v>
      </c>
      <c r="AK15" s="27">
        <f t="shared" si="38"/>
        <v>51.102362204724415</v>
      </c>
      <c r="AL15" s="43">
        <v>131.80000000000001</v>
      </c>
      <c r="AM15" s="21">
        <f t="shared" si="39"/>
        <v>51.889763779527563</v>
      </c>
      <c r="AN15" s="39">
        <v>133.80000000000001</v>
      </c>
      <c r="AO15" s="21">
        <f t="shared" si="40"/>
        <v>52.677165354330711</v>
      </c>
      <c r="AP15" s="39">
        <v>135.80000000000001</v>
      </c>
      <c r="AQ15" s="21">
        <f t="shared" si="41"/>
        <v>53.464566929133859</v>
      </c>
      <c r="AR15" s="39">
        <v>137.80000000000001</v>
      </c>
      <c r="AS15" s="21">
        <f t="shared" si="42"/>
        <v>54.251968503937015</v>
      </c>
      <c r="AT15" s="20">
        <v>139.80000000000001</v>
      </c>
      <c r="AU15" s="21">
        <f t="shared" si="43"/>
        <v>55.039370078740163</v>
      </c>
      <c r="AV15" s="20">
        <v>141.80000000000001</v>
      </c>
      <c r="AW15" s="21">
        <f t="shared" si="44"/>
        <v>55.826771653543311</v>
      </c>
      <c r="AX15" s="20">
        <v>143.80000000000001</v>
      </c>
      <c r="AY15" s="21">
        <f t="shared" si="45"/>
        <v>56.614173228346459</v>
      </c>
      <c r="AZ15" s="20">
        <v>145.80000000000001</v>
      </c>
      <c r="BA15" s="21">
        <f t="shared" si="46"/>
        <v>57.401574803149607</v>
      </c>
      <c r="BB15" s="20">
        <f t="shared" si="47"/>
        <v>2</v>
      </c>
      <c r="BC15" s="26">
        <f t="shared" si="48"/>
        <v>0.78740157480314954</v>
      </c>
    </row>
    <row r="16" spans="1:55">
      <c r="A16" s="57" t="s">
        <v>59</v>
      </c>
      <c r="B16" s="39">
        <v>25.5</v>
      </c>
      <c r="C16" s="21">
        <f t="shared" si="49"/>
        <v>10.039370078740157</v>
      </c>
      <c r="D16" s="39">
        <v>25.75</v>
      </c>
      <c r="E16" s="25">
        <f t="shared" si="49"/>
        <v>10.137795275590552</v>
      </c>
      <c r="F16" s="39">
        <v>26</v>
      </c>
      <c r="G16" s="25">
        <f t="shared" si="50"/>
        <v>10.236220472440944</v>
      </c>
      <c r="H16" s="64">
        <v>26.25</v>
      </c>
      <c r="I16" s="27">
        <f t="shared" si="24"/>
        <v>10.334645669291339</v>
      </c>
      <c r="J16" s="64">
        <v>26.5</v>
      </c>
      <c r="K16" s="27">
        <f t="shared" si="25"/>
        <v>10.433070866141732</v>
      </c>
      <c r="L16" s="43">
        <v>26.75</v>
      </c>
      <c r="M16" s="21">
        <f t="shared" si="26"/>
        <v>10.531496062992126</v>
      </c>
      <c r="N16" s="65">
        <v>27</v>
      </c>
      <c r="O16" s="66">
        <f t="shared" si="27"/>
        <v>10.62992125984252</v>
      </c>
      <c r="P16" s="39">
        <v>27.25</v>
      </c>
      <c r="Q16" s="21">
        <f t="shared" si="28"/>
        <v>10.728346456692913</v>
      </c>
      <c r="R16" s="39">
        <v>27.5</v>
      </c>
      <c r="S16" s="21">
        <f t="shared" si="29"/>
        <v>10.826771653543307</v>
      </c>
      <c r="T16" s="20">
        <v>27.75</v>
      </c>
      <c r="U16" s="21">
        <f t="shared" si="30"/>
        <v>10.9251968503937</v>
      </c>
      <c r="V16" s="20">
        <v>28</v>
      </c>
      <c r="W16" s="21">
        <f t="shared" si="31"/>
        <v>11.023622047244094</v>
      </c>
      <c r="X16" s="20">
        <v>28.25</v>
      </c>
      <c r="Y16" s="21">
        <f t="shared" si="32"/>
        <v>11.122047244094489</v>
      </c>
      <c r="Z16" s="20">
        <v>28.5</v>
      </c>
      <c r="AA16" s="21">
        <f t="shared" si="33"/>
        <v>11.220472440944881</v>
      </c>
      <c r="AB16" s="39">
        <v>28.75</v>
      </c>
      <c r="AC16" s="21">
        <f t="shared" si="34"/>
        <v>11.318897637795276</v>
      </c>
      <c r="AD16" s="39">
        <v>29</v>
      </c>
      <c r="AE16" s="25">
        <f t="shared" si="35"/>
        <v>11.417322834645669</v>
      </c>
      <c r="AF16" s="39">
        <v>29.25</v>
      </c>
      <c r="AG16" s="25">
        <f t="shared" si="36"/>
        <v>11.515748031496063</v>
      </c>
      <c r="AH16" s="64">
        <v>29.5</v>
      </c>
      <c r="AI16" s="27">
        <f t="shared" si="37"/>
        <v>11.614173228346457</v>
      </c>
      <c r="AJ16" s="64">
        <v>29.75</v>
      </c>
      <c r="AK16" s="27">
        <f t="shared" si="38"/>
        <v>11.71259842519685</v>
      </c>
      <c r="AL16" s="43">
        <v>30</v>
      </c>
      <c r="AM16" s="21">
        <f t="shared" si="39"/>
        <v>11.811023622047244</v>
      </c>
      <c r="AN16" s="39">
        <v>30.25</v>
      </c>
      <c r="AO16" s="21">
        <f t="shared" si="40"/>
        <v>11.909448818897637</v>
      </c>
      <c r="AP16" s="39">
        <v>30.5</v>
      </c>
      <c r="AQ16" s="21">
        <f t="shared" si="41"/>
        <v>12.007874015748031</v>
      </c>
      <c r="AR16" s="39">
        <v>30.75</v>
      </c>
      <c r="AS16" s="21">
        <f t="shared" si="42"/>
        <v>12.106299212598426</v>
      </c>
      <c r="AT16" s="20">
        <v>31</v>
      </c>
      <c r="AU16" s="21">
        <f t="shared" si="43"/>
        <v>12.204724409448819</v>
      </c>
      <c r="AV16" s="20">
        <v>31.25</v>
      </c>
      <c r="AW16" s="21">
        <f t="shared" si="44"/>
        <v>12.303149606299213</v>
      </c>
      <c r="AX16" s="20">
        <v>31.5</v>
      </c>
      <c r="AY16" s="21">
        <f t="shared" si="45"/>
        <v>12.401574803149606</v>
      </c>
      <c r="AZ16" s="20">
        <v>31.75</v>
      </c>
      <c r="BA16" s="21">
        <f t="shared" si="46"/>
        <v>12.5</v>
      </c>
      <c r="BB16" s="20">
        <f t="shared" si="47"/>
        <v>0.25</v>
      </c>
      <c r="BC16" s="26">
        <f t="shared" si="48"/>
        <v>9.8425196850393692E-2</v>
      </c>
    </row>
    <row r="17" spans="1:55">
      <c r="A17" s="57" t="s">
        <v>60</v>
      </c>
      <c r="B17" s="39">
        <v>41</v>
      </c>
      <c r="C17" s="21">
        <f t="shared" si="49"/>
        <v>16.141732283464567</v>
      </c>
      <c r="D17" s="39">
        <v>41.3</v>
      </c>
      <c r="E17" s="25">
        <f t="shared" si="49"/>
        <v>16.259842519685037</v>
      </c>
      <c r="F17" s="39">
        <v>41.6</v>
      </c>
      <c r="G17" s="25">
        <f t="shared" si="50"/>
        <v>16.377952755905511</v>
      </c>
      <c r="H17" s="64">
        <v>41.8</v>
      </c>
      <c r="I17" s="27">
        <f t="shared" si="24"/>
        <v>16.456692913385826</v>
      </c>
      <c r="J17" s="64">
        <v>42.1</v>
      </c>
      <c r="K17" s="27">
        <f t="shared" si="25"/>
        <v>16.5748031496063</v>
      </c>
      <c r="L17" s="43">
        <v>42.4</v>
      </c>
      <c r="M17" s="21">
        <f t="shared" si="26"/>
        <v>16.69291338582677</v>
      </c>
      <c r="N17" s="65">
        <v>42.65</v>
      </c>
      <c r="O17" s="66">
        <f t="shared" si="27"/>
        <v>16.791338582677163</v>
      </c>
      <c r="P17" s="39">
        <v>43.2</v>
      </c>
      <c r="Q17" s="21">
        <f t="shared" si="28"/>
        <v>17.007874015748033</v>
      </c>
      <c r="R17" s="39">
        <v>43.65</v>
      </c>
      <c r="S17" s="21">
        <f t="shared" si="29"/>
        <v>17.185039370078741</v>
      </c>
      <c r="T17" s="20">
        <v>44.15</v>
      </c>
      <c r="U17" s="21">
        <f t="shared" si="30"/>
        <v>17.381889763779526</v>
      </c>
      <c r="V17" s="20">
        <v>44.65</v>
      </c>
      <c r="W17" s="21">
        <f t="shared" si="31"/>
        <v>17.578740157480315</v>
      </c>
      <c r="X17" s="20">
        <v>45.15</v>
      </c>
      <c r="Y17" s="21">
        <f t="shared" si="32"/>
        <v>17.7755905511811</v>
      </c>
      <c r="Z17" s="20">
        <v>45.65</v>
      </c>
      <c r="AA17" s="21">
        <f t="shared" si="33"/>
        <v>17.972440944881889</v>
      </c>
      <c r="AB17" s="39">
        <v>46.1</v>
      </c>
      <c r="AC17" s="21">
        <f t="shared" si="34"/>
        <v>18.1496062992126</v>
      </c>
      <c r="AD17" s="39">
        <v>46.6</v>
      </c>
      <c r="AE17" s="25">
        <f t="shared" si="35"/>
        <v>18.346456692913385</v>
      </c>
      <c r="AF17" s="39">
        <v>47.1</v>
      </c>
      <c r="AG17" s="25">
        <f t="shared" si="36"/>
        <v>18.543307086614174</v>
      </c>
      <c r="AH17" s="64">
        <v>47.6</v>
      </c>
      <c r="AI17" s="27">
        <f t="shared" si="37"/>
        <v>18.740157480314959</v>
      </c>
      <c r="AJ17" s="64">
        <v>48.1</v>
      </c>
      <c r="AK17" s="27">
        <f t="shared" si="38"/>
        <v>18.937007874015748</v>
      </c>
      <c r="AL17" s="43">
        <v>48.6</v>
      </c>
      <c r="AM17" s="21">
        <f t="shared" si="39"/>
        <v>19.133858267716537</v>
      </c>
      <c r="AN17" s="39">
        <v>49</v>
      </c>
      <c r="AO17" s="21">
        <f t="shared" si="40"/>
        <v>19.291338582677167</v>
      </c>
      <c r="AP17" s="39">
        <v>49.55</v>
      </c>
      <c r="AQ17" s="21">
        <f t="shared" si="41"/>
        <v>19.50787401574803</v>
      </c>
      <c r="AR17" s="39">
        <v>50</v>
      </c>
      <c r="AS17" s="21">
        <f t="shared" si="42"/>
        <v>19.685039370078741</v>
      </c>
      <c r="AT17" s="20">
        <v>50.55</v>
      </c>
      <c r="AU17" s="21">
        <f t="shared" si="43"/>
        <v>19.901574803149604</v>
      </c>
      <c r="AV17" s="20">
        <v>51</v>
      </c>
      <c r="AW17" s="21">
        <f t="shared" si="44"/>
        <v>20.078740157480315</v>
      </c>
      <c r="AX17" s="20">
        <v>51.5</v>
      </c>
      <c r="AY17" s="21">
        <f t="shared" si="45"/>
        <v>20.275590551181104</v>
      </c>
      <c r="AZ17" s="20">
        <v>52</v>
      </c>
      <c r="BA17" s="21">
        <f t="shared" si="46"/>
        <v>20.472440944881889</v>
      </c>
      <c r="BB17" s="20">
        <f t="shared" si="47"/>
        <v>0.5</v>
      </c>
      <c r="BC17" s="26">
        <f t="shared" si="48"/>
        <v>0.19685039370078738</v>
      </c>
    </row>
    <row r="18" spans="1:55">
      <c r="A18" s="57" t="s">
        <v>61</v>
      </c>
      <c r="B18" s="39">
        <v>22.4</v>
      </c>
      <c r="C18" s="21">
        <f t="shared" si="49"/>
        <v>8.8188976377952741</v>
      </c>
      <c r="D18" s="39">
        <v>22.7</v>
      </c>
      <c r="E18" s="25">
        <f t="shared" si="49"/>
        <v>8.9370078740157481</v>
      </c>
      <c r="F18" s="39">
        <v>23</v>
      </c>
      <c r="G18" s="25">
        <f t="shared" si="50"/>
        <v>9.0551181102362204</v>
      </c>
      <c r="H18" s="64">
        <v>23.3</v>
      </c>
      <c r="I18" s="27">
        <f t="shared" si="24"/>
        <v>9.1732283464566926</v>
      </c>
      <c r="J18" s="64">
        <v>23.6</v>
      </c>
      <c r="K18" s="27">
        <f t="shared" si="25"/>
        <v>9.2913385826771666</v>
      </c>
      <c r="L18" s="43">
        <v>23.9</v>
      </c>
      <c r="M18" s="21">
        <f t="shared" si="26"/>
        <v>9.4094488188976371</v>
      </c>
      <c r="N18" s="65">
        <v>24.2</v>
      </c>
      <c r="O18" s="66">
        <f t="shared" si="27"/>
        <v>9.5275590551181093</v>
      </c>
      <c r="P18" s="39">
        <v>24.5</v>
      </c>
      <c r="Q18" s="21">
        <f t="shared" si="28"/>
        <v>9.6456692913385833</v>
      </c>
      <c r="R18" s="39">
        <v>24.8</v>
      </c>
      <c r="S18" s="21">
        <f t="shared" si="29"/>
        <v>9.7637795275590555</v>
      </c>
      <c r="T18" s="20">
        <v>25.1</v>
      </c>
      <c r="U18" s="21">
        <f t="shared" si="30"/>
        <v>9.8818897637795278</v>
      </c>
      <c r="V18" s="20">
        <v>25.4</v>
      </c>
      <c r="W18" s="21">
        <f t="shared" si="31"/>
        <v>10</v>
      </c>
      <c r="X18" s="20">
        <v>25.7</v>
      </c>
      <c r="Y18" s="21">
        <f t="shared" si="32"/>
        <v>10.118110236220472</v>
      </c>
      <c r="Z18" s="20">
        <v>26</v>
      </c>
      <c r="AA18" s="21">
        <f t="shared" si="33"/>
        <v>10.236220472440944</v>
      </c>
      <c r="AB18" s="39">
        <v>26.3</v>
      </c>
      <c r="AC18" s="21">
        <f t="shared" si="34"/>
        <v>10.354330708661417</v>
      </c>
      <c r="AD18" s="39">
        <v>26.6</v>
      </c>
      <c r="AE18" s="25">
        <f t="shared" si="35"/>
        <v>10.472440944881891</v>
      </c>
      <c r="AF18" s="39">
        <v>26.9</v>
      </c>
      <c r="AG18" s="25">
        <f t="shared" si="36"/>
        <v>10.590551181102361</v>
      </c>
      <c r="AH18" s="64">
        <v>27.2</v>
      </c>
      <c r="AI18" s="27">
        <f t="shared" si="37"/>
        <v>10.708661417322833</v>
      </c>
      <c r="AJ18" s="64">
        <v>27.5</v>
      </c>
      <c r="AK18" s="27">
        <f t="shared" si="38"/>
        <v>10.826771653543307</v>
      </c>
      <c r="AL18" s="43">
        <v>27.8</v>
      </c>
      <c r="AM18" s="21">
        <f t="shared" si="39"/>
        <v>10.94488188976378</v>
      </c>
      <c r="AN18" s="39">
        <v>28.1</v>
      </c>
      <c r="AO18" s="21">
        <f t="shared" si="40"/>
        <v>11.062992125984252</v>
      </c>
      <c r="AP18" s="39">
        <v>28.4</v>
      </c>
      <c r="AQ18" s="21">
        <f t="shared" si="41"/>
        <v>11.181102362204724</v>
      </c>
      <c r="AR18" s="39">
        <v>28.7</v>
      </c>
      <c r="AS18" s="21">
        <f t="shared" si="42"/>
        <v>11.299212598425196</v>
      </c>
      <c r="AT18" s="20">
        <v>29</v>
      </c>
      <c r="AU18" s="21">
        <f t="shared" si="43"/>
        <v>11.417322834645669</v>
      </c>
      <c r="AV18" s="20">
        <v>29.3</v>
      </c>
      <c r="AW18" s="21">
        <f t="shared" si="44"/>
        <v>11.535433070866143</v>
      </c>
      <c r="AX18" s="20">
        <v>29.6</v>
      </c>
      <c r="AY18" s="21">
        <f t="shared" si="45"/>
        <v>11.653543307086615</v>
      </c>
      <c r="AZ18" s="20">
        <v>29.9</v>
      </c>
      <c r="BA18" s="21">
        <f t="shared" si="46"/>
        <v>11.771653543307085</v>
      </c>
      <c r="BB18" s="20">
        <f t="shared" si="47"/>
        <v>0.30000000000000071</v>
      </c>
      <c r="BC18" s="26">
        <f t="shared" si="48"/>
        <v>0.11811023622047272</v>
      </c>
    </row>
    <row r="19" spans="1:55">
      <c r="A19" s="57" t="s">
        <v>62</v>
      </c>
      <c r="B19" s="39">
        <v>19.399999999999999</v>
      </c>
      <c r="C19" s="21">
        <f t="shared" si="49"/>
        <v>7.6377952755905509</v>
      </c>
      <c r="D19" s="39">
        <v>19.600000000000001</v>
      </c>
      <c r="E19" s="25">
        <f t="shared" si="49"/>
        <v>7.7165354330708666</v>
      </c>
      <c r="F19" s="39">
        <v>19.8</v>
      </c>
      <c r="G19" s="25">
        <f t="shared" si="50"/>
        <v>7.7952755905511815</v>
      </c>
      <c r="H19" s="64">
        <v>20</v>
      </c>
      <c r="I19" s="27">
        <f t="shared" si="24"/>
        <v>7.8740157480314963</v>
      </c>
      <c r="J19" s="64">
        <v>20.2</v>
      </c>
      <c r="K19" s="27">
        <f t="shared" si="25"/>
        <v>7.9527559055118102</v>
      </c>
      <c r="L19" s="43">
        <v>20.399999999999999</v>
      </c>
      <c r="M19" s="21">
        <f t="shared" si="26"/>
        <v>8.0314960629921259</v>
      </c>
      <c r="N19" s="65">
        <v>20.6</v>
      </c>
      <c r="O19" s="66">
        <f t="shared" si="27"/>
        <v>8.1102362204724407</v>
      </c>
      <c r="P19" s="39">
        <v>20.8</v>
      </c>
      <c r="Q19" s="21">
        <f t="shared" si="28"/>
        <v>8.1889763779527556</v>
      </c>
      <c r="R19" s="39">
        <v>21</v>
      </c>
      <c r="S19" s="21">
        <f t="shared" si="29"/>
        <v>8.2677165354330704</v>
      </c>
      <c r="T19" s="20">
        <v>21.2</v>
      </c>
      <c r="U19" s="21">
        <f t="shared" si="30"/>
        <v>8.3464566929133852</v>
      </c>
      <c r="V19" s="20">
        <v>21.4</v>
      </c>
      <c r="W19" s="21">
        <f t="shared" si="31"/>
        <v>8.4251968503937</v>
      </c>
      <c r="X19" s="20">
        <v>21.6</v>
      </c>
      <c r="Y19" s="21">
        <f t="shared" si="32"/>
        <v>8.5039370078740166</v>
      </c>
      <c r="Z19" s="20">
        <v>21.8</v>
      </c>
      <c r="AA19" s="21">
        <f t="shared" si="33"/>
        <v>8.5826771653543314</v>
      </c>
      <c r="AB19" s="39">
        <v>22</v>
      </c>
      <c r="AC19" s="21">
        <f t="shared" si="34"/>
        <v>8.6614173228346463</v>
      </c>
      <c r="AD19" s="39">
        <v>22.2</v>
      </c>
      <c r="AE19" s="25">
        <f t="shared" si="35"/>
        <v>8.7401574803149611</v>
      </c>
      <c r="AF19" s="39">
        <v>22.4</v>
      </c>
      <c r="AG19" s="25">
        <f t="shared" si="36"/>
        <v>8.8188976377952741</v>
      </c>
      <c r="AH19" s="64">
        <v>22.6</v>
      </c>
      <c r="AI19" s="27">
        <f t="shared" si="37"/>
        <v>8.8976377952755907</v>
      </c>
      <c r="AJ19" s="64">
        <v>22.8</v>
      </c>
      <c r="AK19" s="27">
        <f t="shared" si="38"/>
        <v>8.9763779527559056</v>
      </c>
      <c r="AL19" s="43">
        <v>23</v>
      </c>
      <c r="AM19" s="21">
        <f t="shared" si="39"/>
        <v>9.0551181102362204</v>
      </c>
      <c r="AN19" s="39">
        <v>23.2</v>
      </c>
      <c r="AO19" s="21">
        <f t="shared" si="40"/>
        <v>9.1338582677165352</v>
      </c>
      <c r="AP19" s="39">
        <v>23.4</v>
      </c>
      <c r="AQ19" s="21">
        <f t="shared" si="41"/>
        <v>9.21259842519685</v>
      </c>
      <c r="AR19" s="39">
        <v>23.6</v>
      </c>
      <c r="AS19" s="21">
        <f t="shared" si="42"/>
        <v>9.2913385826771666</v>
      </c>
      <c r="AT19" s="20">
        <v>23.8</v>
      </c>
      <c r="AU19" s="21">
        <f t="shared" si="43"/>
        <v>9.3700787401574797</v>
      </c>
      <c r="AV19" s="20">
        <v>24</v>
      </c>
      <c r="AW19" s="21">
        <f t="shared" si="44"/>
        <v>9.4488188976377945</v>
      </c>
      <c r="AX19" s="20">
        <v>24.2</v>
      </c>
      <c r="AY19" s="21">
        <f t="shared" si="45"/>
        <v>9.5275590551181093</v>
      </c>
      <c r="AZ19" s="20">
        <v>24.4</v>
      </c>
      <c r="BA19" s="21">
        <f t="shared" si="46"/>
        <v>9.6062992125984241</v>
      </c>
      <c r="BB19" s="20">
        <f t="shared" si="47"/>
        <v>0.19999999999999929</v>
      </c>
      <c r="BC19" s="26">
        <f t="shared" si="48"/>
        <v>7.8740157480314682E-2</v>
      </c>
    </row>
    <row r="20" spans="1:55" ht="18" thickBot="1">
      <c r="A20" s="57" t="s">
        <v>63</v>
      </c>
      <c r="B20" s="39">
        <v>103</v>
      </c>
      <c r="C20" s="21">
        <f t="shared" si="49"/>
        <v>40.551181102362207</v>
      </c>
      <c r="D20" s="39">
        <v>103.3</v>
      </c>
      <c r="E20" s="25">
        <f t="shared" si="49"/>
        <v>40.669291338582674</v>
      </c>
      <c r="F20" s="39">
        <v>103.6</v>
      </c>
      <c r="G20" s="25">
        <f t="shared" si="50"/>
        <v>40.787401574803148</v>
      </c>
      <c r="H20" s="67">
        <v>103.8</v>
      </c>
      <c r="I20" s="68">
        <f t="shared" si="24"/>
        <v>40.866141732283459</v>
      </c>
      <c r="J20" s="67">
        <v>104</v>
      </c>
      <c r="K20" s="68">
        <f t="shared" si="25"/>
        <v>40.944881889763778</v>
      </c>
      <c r="L20" s="43">
        <v>104.4</v>
      </c>
      <c r="M20" s="21">
        <f t="shared" si="26"/>
        <v>41.102362204724415</v>
      </c>
      <c r="N20" s="65">
        <v>104.6</v>
      </c>
      <c r="O20" s="66">
        <f t="shared" si="27"/>
        <v>41.181102362204719</v>
      </c>
      <c r="P20" s="39">
        <v>104.9</v>
      </c>
      <c r="Q20" s="21">
        <f t="shared" si="28"/>
        <v>41.2992125984252</v>
      </c>
      <c r="R20" s="39">
        <v>105.2</v>
      </c>
      <c r="S20" s="21">
        <f t="shared" si="29"/>
        <v>41.417322834645667</v>
      </c>
      <c r="T20" s="39">
        <v>105.45</v>
      </c>
      <c r="U20" s="21">
        <f t="shared" si="30"/>
        <v>41.515748031496067</v>
      </c>
      <c r="V20" s="39">
        <v>105.7</v>
      </c>
      <c r="W20" s="21">
        <f t="shared" si="31"/>
        <v>41.614173228346459</v>
      </c>
      <c r="X20" s="39">
        <v>106</v>
      </c>
      <c r="Y20" s="21">
        <f t="shared" si="32"/>
        <v>41.732283464566926</v>
      </c>
      <c r="Z20" s="39">
        <v>106.25</v>
      </c>
      <c r="AA20" s="21">
        <f t="shared" si="33"/>
        <v>41.830708661417326</v>
      </c>
      <c r="AB20" s="39">
        <v>106.5</v>
      </c>
      <c r="AC20" s="21">
        <f t="shared" si="34"/>
        <v>41.929133858267718</v>
      </c>
      <c r="AD20" s="39">
        <v>106.8</v>
      </c>
      <c r="AE20" s="25">
        <f t="shared" si="35"/>
        <v>42.047244094488185</v>
      </c>
      <c r="AF20" s="39">
        <v>107</v>
      </c>
      <c r="AG20" s="25">
        <f t="shared" si="36"/>
        <v>42.125984251968504</v>
      </c>
      <c r="AH20" s="67">
        <v>107.3</v>
      </c>
      <c r="AI20" s="68">
        <f t="shared" si="37"/>
        <v>42.244094488188978</v>
      </c>
      <c r="AJ20" s="67">
        <v>107.6</v>
      </c>
      <c r="AK20" s="68">
        <f t="shared" si="38"/>
        <v>42.362204724409445</v>
      </c>
      <c r="AL20" s="43">
        <v>107.8</v>
      </c>
      <c r="AM20" s="21">
        <f t="shared" si="39"/>
        <v>42.440944881889763</v>
      </c>
      <c r="AN20" s="39">
        <v>108.1</v>
      </c>
      <c r="AO20" s="21">
        <f t="shared" si="40"/>
        <v>42.55905511811023</v>
      </c>
      <c r="AP20" s="39">
        <v>108.4</v>
      </c>
      <c r="AQ20" s="21">
        <f t="shared" si="41"/>
        <v>42.677165354330711</v>
      </c>
      <c r="AR20" s="39">
        <v>108.7</v>
      </c>
      <c r="AS20" s="21">
        <f t="shared" si="42"/>
        <v>42.795275590551185</v>
      </c>
      <c r="AT20" s="39">
        <v>108.95</v>
      </c>
      <c r="AU20" s="21">
        <f t="shared" si="43"/>
        <v>42.893700787401578</v>
      </c>
      <c r="AV20" s="39">
        <v>109.2</v>
      </c>
      <c r="AW20" s="21">
        <f t="shared" si="44"/>
        <v>42.99212598425197</v>
      </c>
      <c r="AX20" s="39">
        <v>109.5</v>
      </c>
      <c r="AY20" s="21">
        <f t="shared" si="45"/>
        <v>43.110236220472437</v>
      </c>
      <c r="AZ20" s="39">
        <v>106.75</v>
      </c>
      <c r="BA20" s="21">
        <f t="shared" si="46"/>
        <v>42.027559055118111</v>
      </c>
      <c r="BB20" s="20" t="s">
        <v>46</v>
      </c>
      <c r="BC20" s="26" t="s">
        <v>46</v>
      </c>
    </row>
    <row r="21" spans="1:55" ht="18" thickBot="1">
      <c r="A21" s="57" t="s">
        <v>65</v>
      </c>
      <c r="B21" s="20">
        <v>58.3</v>
      </c>
      <c r="C21" s="21">
        <f t="shared" si="49"/>
        <v>22.952755905511811</v>
      </c>
      <c r="D21" s="20">
        <v>59.1</v>
      </c>
      <c r="E21" s="21">
        <f t="shared" si="49"/>
        <v>23.26771653543307</v>
      </c>
      <c r="F21" s="20">
        <v>60</v>
      </c>
      <c r="G21" s="21">
        <f t="shared" si="50"/>
        <v>23.622047244094489</v>
      </c>
      <c r="H21" s="20">
        <v>60.8</v>
      </c>
      <c r="I21" s="25">
        <f t="shared" si="24"/>
        <v>23.937007874015748</v>
      </c>
      <c r="J21" s="20">
        <v>61.6</v>
      </c>
      <c r="K21" s="25">
        <f t="shared" si="25"/>
        <v>24.251968503937007</v>
      </c>
      <c r="L21" s="69">
        <v>62.4</v>
      </c>
      <c r="M21" s="68">
        <f t="shared" si="26"/>
        <v>24.566929133858267</v>
      </c>
      <c r="N21" s="70">
        <v>63.2</v>
      </c>
      <c r="O21" s="66">
        <f t="shared" si="27"/>
        <v>24.88188976377953</v>
      </c>
      <c r="P21" s="20">
        <v>64.25</v>
      </c>
      <c r="Q21" s="21">
        <f t="shared" si="28"/>
        <v>25.295275590551181</v>
      </c>
      <c r="R21" s="20">
        <v>65.25</v>
      </c>
      <c r="S21" s="21">
        <f t="shared" si="29"/>
        <v>25.688976377952756</v>
      </c>
      <c r="T21" s="20">
        <v>66.25</v>
      </c>
      <c r="U21" s="21">
        <f t="shared" si="30"/>
        <v>26.08267716535433</v>
      </c>
      <c r="V21" s="20">
        <v>67.2</v>
      </c>
      <c r="W21" s="21">
        <f t="shared" si="31"/>
        <v>26.456692913385826</v>
      </c>
      <c r="X21" s="20">
        <v>68.2</v>
      </c>
      <c r="Y21" s="21">
        <f t="shared" si="32"/>
        <v>26.850393700787404</v>
      </c>
      <c r="Z21" s="20">
        <v>69.2</v>
      </c>
      <c r="AA21" s="21">
        <f t="shared" si="33"/>
        <v>27.244094488188978</v>
      </c>
      <c r="AB21" s="20">
        <v>70.2</v>
      </c>
      <c r="AC21" s="21">
        <f t="shared" si="34"/>
        <v>27.637795275590552</v>
      </c>
      <c r="AD21" s="20">
        <v>71.2</v>
      </c>
      <c r="AE21" s="21">
        <f t="shared" si="35"/>
        <v>28.031496062992126</v>
      </c>
      <c r="AF21" s="20">
        <v>72.2</v>
      </c>
      <c r="AG21" s="21">
        <f t="shared" si="36"/>
        <v>28.4251968503937</v>
      </c>
      <c r="AH21" s="20">
        <v>73.2</v>
      </c>
      <c r="AI21" s="25">
        <f t="shared" si="37"/>
        <v>28.818897637795278</v>
      </c>
      <c r="AJ21" s="20">
        <v>74.150000000000006</v>
      </c>
      <c r="AK21" s="25">
        <f t="shared" si="38"/>
        <v>29.192913385826774</v>
      </c>
      <c r="AL21" s="69">
        <v>75.150000000000006</v>
      </c>
      <c r="AM21" s="68">
        <f t="shared" si="39"/>
        <v>29.586614173228348</v>
      </c>
      <c r="AN21" s="24">
        <v>76.099999999999994</v>
      </c>
      <c r="AO21" s="21">
        <v>77.8</v>
      </c>
      <c r="AP21" s="20">
        <v>77.099999999999994</v>
      </c>
      <c r="AQ21" s="21">
        <f t="shared" si="41"/>
        <v>30.354330708661415</v>
      </c>
      <c r="AR21" s="20">
        <v>78</v>
      </c>
      <c r="AS21" s="21">
        <f t="shared" si="42"/>
        <v>30.708661417322833</v>
      </c>
      <c r="AT21" s="20">
        <v>79</v>
      </c>
      <c r="AU21" s="21">
        <f t="shared" si="43"/>
        <v>31.102362204724407</v>
      </c>
      <c r="AV21" s="20">
        <v>80</v>
      </c>
      <c r="AW21" s="21">
        <f t="shared" si="44"/>
        <v>31.496062992125985</v>
      </c>
      <c r="AX21" s="20">
        <v>81</v>
      </c>
      <c r="AY21" s="21">
        <f t="shared" si="45"/>
        <v>31.889763779527559</v>
      </c>
      <c r="AZ21" s="20">
        <v>82</v>
      </c>
      <c r="BA21" s="21">
        <f t="shared" si="46"/>
        <v>32.283464566929133</v>
      </c>
      <c r="BB21" s="20">
        <v>0.95</v>
      </c>
      <c r="BC21" s="26" t="s">
        <v>46</v>
      </c>
    </row>
    <row r="23" spans="1:55" ht="31" thickBot="1">
      <c r="A23" s="71" t="s">
        <v>71</v>
      </c>
      <c r="B23" s="72"/>
      <c r="C23" s="7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55">
      <c r="A24" s="17" t="s">
        <v>49</v>
      </c>
      <c r="B24" s="18">
        <v>76</v>
      </c>
      <c r="C24" s="19"/>
      <c r="D24" s="18">
        <v>78</v>
      </c>
      <c r="E24" s="19"/>
      <c r="F24" s="18">
        <v>80</v>
      </c>
      <c r="G24" s="19"/>
      <c r="H24" s="18">
        <v>82</v>
      </c>
      <c r="I24" s="35"/>
      <c r="J24" s="36">
        <v>84</v>
      </c>
      <c r="K24" s="37"/>
      <c r="L24" s="38">
        <v>86</v>
      </c>
      <c r="M24" s="19"/>
      <c r="N24" s="18">
        <v>88</v>
      </c>
      <c r="O24" s="19"/>
      <c r="P24" s="18">
        <v>90</v>
      </c>
      <c r="Q24" s="19"/>
      <c r="R24" s="18">
        <v>92</v>
      </c>
      <c r="S24" s="19"/>
      <c r="T24" s="18">
        <v>94</v>
      </c>
      <c r="U24" s="19"/>
      <c r="V24" s="18">
        <v>96</v>
      </c>
      <c r="W24" s="19"/>
      <c r="X24" s="18">
        <v>98</v>
      </c>
      <c r="Y24" s="19"/>
      <c r="Z24" s="18">
        <v>100</v>
      </c>
      <c r="AA24" s="19"/>
      <c r="AB24" s="18">
        <v>102</v>
      </c>
      <c r="AC24" s="19"/>
      <c r="AD24" s="18">
        <v>104</v>
      </c>
      <c r="AE24" s="19"/>
      <c r="AF24" s="18">
        <v>106</v>
      </c>
      <c r="AG24" s="19"/>
      <c r="AH24" s="18">
        <v>108</v>
      </c>
      <c r="AI24" s="19"/>
      <c r="AJ24" s="18">
        <v>110</v>
      </c>
      <c r="AK24" s="19"/>
      <c r="AL24" s="50" t="s">
        <v>37</v>
      </c>
      <c r="AM24" s="51"/>
    </row>
    <row r="25" spans="1:55">
      <c r="A25" s="57" t="s">
        <v>57</v>
      </c>
      <c r="B25" s="20">
        <v>78</v>
      </c>
      <c r="C25" s="21">
        <f t="shared" ref="C25:C32" si="51">B25/2.54</f>
        <v>30.708661417322833</v>
      </c>
      <c r="D25" s="20">
        <v>80</v>
      </c>
      <c r="E25" s="21">
        <f t="shared" ref="E25:E32" si="52">D25/2.54</f>
        <v>31.496062992125985</v>
      </c>
      <c r="F25" s="20">
        <v>82</v>
      </c>
      <c r="G25" s="21">
        <f t="shared" ref="G25:G32" si="53">F25/2.54</f>
        <v>32.283464566929133</v>
      </c>
      <c r="H25" s="20">
        <v>84</v>
      </c>
      <c r="I25" s="25">
        <f t="shared" ref="I25:I32" si="54">H25/2.54</f>
        <v>33.070866141732282</v>
      </c>
      <c r="J25" s="53">
        <v>86</v>
      </c>
      <c r="K25" s="27">
        <f t="shared" ref="K25:K32" si="55">J25/2.54</f>
        <v>33.85826771653543</v>
      </c>
      <c r="L25" s="24">
        <v>88</v>
      </c>
      <c r="M25" s="21">
        <f t="shared" ref="M25:M32" si="56">L25/2.54</f>
        <v>34.645669291338585</v>
      </c>
      <c r="N25" s="20">
        <v>90</v>
      </c>
      <c r="O25" s="21">
        <f t="shared" ref="O25:O32" si="57">N25/2.54</f>
        <v>35.433070866141733</v>
      </c>
      <c r="P25" s="20">
        <v>92</v>
      </c>
      <c r="Q25" s="21">
        <f t="shared" ref="Q25:Q32" si="58">P25/2.54</f>
        <v>36.220472440944881</v>
      </c>
      <c r="R25" s="20">
        <v>94</v>
      </c>
      <c r="S25" s="21">
        <f t="shared" ref="S25:S32" si="59">R25/2.54</f>
        <v>37.00787401574803</v>
      </c>
      <c r="T25" s="20">
        <v>96</v>
      </c>
      <c r="U25" s="21">
        <f t="shared" ref="U25:U32" si="60">T25/2.54</f>
        <v>37.795275590551178</v>
      </c>
      <c r="V25" s="20">
        <v>98</v>
      </c>
      <c r="W25" s="21">
        <f t="shared" ref="W25:W32" si="61">V25/2.54</f>
        <v>38.582677165354333</v>
      </c>
      <c r="X25" s="20">
        <v>100</v>
      </c>
      <c r="Y25" s="21">
        <f t="shared" ref="Y25:Y32" si="62">X25/2.54</f>
        <v>39.370078740157481</v>
      </c>
      <c r="Z25" s="20">
        <v>102</v>
      </c>
      <c r="AA25" s="21">
        <f t="shared" ref="AA25:AA32" si="63">Z25/2.54</f>
        <v>40.15748031496063</v>
      </c>
      <c r="AB25" s="20">
        <v>104</v>
      </c>
      <c r="AC25" s="21">
        <f t="shared" ref="AC25:AC32" si="64">AB25/2.54</f>
        <v>40.944881889763778</v>
      </c>
      <c r="AD25" s="20">
        <v>106</v>
      </c>
      <c r="AE25" s="21">
        <f t="shared" ref="AE25:AE32" si="65">AD25/2.54</f>
        <v>41.732283464566926</v>
      </c>
      <c r="AF25" s="20">
        <v>108</v>
      </c>
      <c r="AG25" s="21">
        <f t="shared" ref="AG25:AG32" si="66">AF25/2.54</f>
        <v>42.519685039370081</v>
      </c>
      <c r="AH25" s="20">
        <v>110</v>
      </c>
      <c r="AI25" s="21">
        <f t="shared" ref="AI25:AI32" si="67">AH25/2.54</f>
        <v>43.30708661417323</v>
      </c>
      <c r="AJ25" s="20">
        <v>112</v>
      </c>
      <c r="AK25" s="21">
        <f t="shared" ref="AK25:AK32" si="68">AJ25/2.54</f>
        <v>44.094488188976378</v>
      </c>
      <c r="AL25" s="20">
        <v>2</v>
      </c>
      <c r="AM25" s="26">
        <f t="shared" ref="AM25:AM30" si="69">AL25/2.54</f>
        <v>0.78740157480314954</v>
      </c>
    </row>
    <row r="26" spans="1:55">
      <c r="A26" s="57" t="s">
        <v>58</v>
      </c>
      <c r="B26" s="20">
        <v>97</v>
      </c>
      <c r="C26" s="21">
        <f t="shared" si="51"/>
        <v>38.188976377952756</v>
      </c>
      <c r="D26" s="20">
        <v>99</v>
      </c>
      <c r="E26" s="21">
        <f t="shared" si="52"/>
        <v>38.976377952755904</v>
      </c>
      <c r="F26" s="20">
        <v>101</v>
      </c>
      <c r="G26" s="21">
        <f t="shared" si="53"/>
        <v>39.763779527559052</v>
      </c>
      <c r="H26" s="20">
        <v>103</v>
      </c>
      <c r="I26" s="25">
        <f t="shared" si="54"/>
        <v>40.551181102362207</v>
      </c>
      <c r="J26" s="53">
        <v>105</v>
      </c>
      <c r="K26" s="27">
        <f t="shared" si="55"/>
        <v>41.338582677165356</v>
      </c>
      <c r="L26" s="24">
        <v>107</v>
      </c>
      <c r="M26" s="21">
        <f t="shared" si="56"/>
        <v>42.125984251968504</v>
      </c>
      <c r="N26" s="20">
        <v>109</v>
      </c>
      <c r="O26" s="21">
        <f t="shared" si="57"/>
        <v>42.913385826771652</v>
      </c>
      <c r="P26" s="20">
        <v>111</v>
      </c>
      <c r="Q26" s="21">
        <f t="shared" si="58"/>
        <v>43.7007874015748</v>
      </c>
      <c r="R26" s="20">
        <v>113</v>
      </c>
      <c r="S26" s="21">
        <f t="shared" si="59"/>
        <v>44.488188976377955</v>
      </c>
      <c r="T26" s="20">
        <v>115</v>
      </c>
      <c r="U26" s="21">
        <f t="shared" si="60"/>
        <v>45.275590551181104</v>
      </c>
      <c r="V26" s="20">
        <v>117</v>
      </c>
      <c r="W26" s="21">
        <f t="shared" si="61"/>
        <v>46.062992125984252</v>
      </c>
      <c r="X26" s="20">
        <v>119</v>
      </c>
      <c r="Y26" s="21">
        <f t="shared" si="62"/>
        <v>46.8503937007874</v>
      </c>
      <c r="Z26" s="20">
        <v>121</v>
      </c>
      <c r="AA26" s="21">
        <f t="shared" si="63"/>
        <v>47.637795275590548</v>
      </c>
      <c r="AB26" s="20">
        <v>123</v>
      </c>
      <c r="AC26" s="21">
        <f t="shared" si="64"/>
        <v>48.425196850393704</v>
      </c>
      <c r="AD26" s="20">
        <v>125</v>
      </c>
      <c r="AE26" s="21">
        <f t="shared" si="65"/>
        <v>49.212598425196852</v>
      </c>
      <c r="AF26" s="20">
        <v>127</v>
      </c>
      <c r="AG26" s="21">
        <f t="shared" si="66"/>
        <v>50</v>
      </c>
      <c r="AH26" s="20">
        <v>129</v>
      </c>
      <c r="AI26" s="21">
        <f t="shared" si="67"/>
        <v>50.787401574803148</v>
      </c>
      <c r="AJ26" s="20">
        <v>131</v>
      </c>
      <c r="AK26" s="21">
        <f t="shared" si="68"/>
        <v>51.574803149606296</v>
      </c>
      <c r="AL26" s="20">
        <v>2</v>
      </c>
      <c r="AM26" s="26">
        <f t="shared" si="69"/>
        <v>0.78740157480314954</v>
      </c>
    </row>
    <row r="27" spans="1:55">
      <c r="A27" s="57" t="s">
        <v>59</v>
      </c>
      <c r="B27" s="20">
        <v>25</v>
      </c>
      <c r="C27" s="21">
        <f t="shared" si="51"/>
        <v>9.8425196850393704</v>
      </c>
      <c r="D27" s="20">
        <v>25.25</v>
      </c>
      <c r="E27" s="21">
        <f t="shared" si="52"/>
        <v>9.940944881889763</v>
      </c>
      <c r="F27" s="20">
        <v>25.5</v>
      </c>
      <c r="G27" s="21">
        <f t="shared" si="53"/>
        <v>10.039370078740157</v>
      </c>
      <c r="H27" s="20">
        <v>25.75</v>
      </c>
      <c r="I27" s="25">
        <f t="shared" si="54"/>
        <v>10.137795275590552</v>
      </c>
      <c r="J27" s="53">
        <v>26</v>
      </c>
      <c r="K27" s="27">
        <f t="shared" si="55"/>
        <v>10.236220472440944</v>
      </c>
      <c r="L27" s="24">
        <v>26.25</v>
      </c>
      <c r="M27" s="21">
        <f t="shared" si="56"/>
        <v>10.334645669291339</v>
      </c>
      <c r="N27" s="20">
        <v>26.5</v>
      </c>
      <c r="O27" s="21">
        <f t="shared" si="57"/>
        <v>10.433070866141732</v>
      </c>
      <c r="P27" s="20">
        <v>26.75</v>
      </c>
      <c r="Q27" s="21">
        <f t="shared" si="58"/>
        <v>10.531496062992126</v>
      </c>
      <c r="R27" s="20">
        <v>27</v>
      </c>
      <c r="S27" s="21">
        <f t="shared" si="59"/>
        <v>10.62992125984252</v>
      </c>
      <c r="T27" s="20">
        <v>27.25</v>
      </c>
      <c r="U27" s="21">
        <f t="shared" si="60"/>
        <v>10.728346456692913</v>
      </c>
      <c r="V27" s="20">
        <v>27.5</v>
      </c>
      <c r="W27" s="21">
        <f t="shared" si="61"/>
        <v>10.826771653543307</v>
      </c>
      <c r="X27" s="20">
        <v>27.75</v>
      </c>
      <c r="Y27" s="21">
        <f t="shared" si="62"/>
        <v>10.9251968503937</v>
      </c>
      <c r="Z27" s="20">
        <v>28</v>
      </c>
      <c r="AA27" s="21">
        <f t="shared" si="63"/>
        <v>11.023622047244094</v>
      </c>
      <c r="AB27" s="20">
        <v>28.25</v>
      </c>
      <c r="AC27" s="21">
        <f t="shared" si="64"/>
        <v>11.122047244094489</v>
      </c>
      <c r="AD27" s="20">
        <v>28.5</v>
      </c>
      <c r="AE27" s="21">
        <f t="shared" si="65"/>
        <v>11.220472440944881</v>
      </c>
      <c r="AF27" s="20">
        <v>28.75</v>
      </c>
      <c r="AG27" s="21">
        <f t="shared" si="66"/>
        <v>11.318897637795276</v>
      </c>
      <c r="AH27" s="20">
        <v>29</v>
      </c>
      <c r="AI27" s="21">
        <f t="shared" si="67"/>
        <v>11.417322834645669</v>
      </c>
      <c r="AJ27" s="20">
        <v>29.25</v>
      </c>
      <c r="AK27" s="21">
        <f t="shared" si="68"/>
        <v>11.515748031496063</v>
      </c>
      <c r="AL27" s="20">
        <v>0.25</v>
      </c>
      <c r="AM27" s="26">
        <f t="shared" si="69"/>
        <v>9.8425196850393692E-2</v>
      </c>
    </row>
    <row r="28" spans="1:55">
      <c r="A28" s="57" t="s">
        <v>60</v>
      </c>
      <c r="B28" s="20">
        <v>39.299999999999997</v>
      </c>
      <c r="C28" s="21">
        <f t="shared" si="51"/>
        <v>15.472440944881889</v>
      </c>
      <c r="D28" s="20">
        <v>39.75</v>
      </c>
      <c r="E28" s="21">
        <f t="shared" si="52"/>
        <v>15.649606299212598</v>
      </c>
      <c r="F28" s="20">
        <v>40.1</v>
      </c>
      <c r="G28" s="21">
        <f t="shared" si="53"/>
        <v>15.78740157480315</v>
      </c>
      <c r="H28" s="20">
        <v>40.5</v>
      </c>
      <c r="I28" s="25">
        <f t="shared" si="54"/>
        <v>15.94488188976378</v>
      </c>
      <c r="J28" s="53">
        <v>41</v>
      </c>
      <c r="K28" s="27">
        <f t="shared" si="55"/>
        <v>16.141732283464567</v>
      </c>
      <c r="L28" s="24">
        <v>41.7</v>
      </c>
      <c r="M28" s="21">
        <f t="shared" si="56"/>
        <v>16.41732283464567</v>
      </c>
      <c r="N28" s="20">
        <v>42.3</v>
      </c>
      <c r="O28" s="21">
        <f t="shared" si="57"/>
        <v>16.653543307086611</v>
      </c>
      <c r="P28" s="20">
        <v>42.9</v>
      </c>
      <c r="Q28" s="21">
        <f t="shared" si="58"/>
        <v>16.889763779527559</v>
      </c>
      <c r="R28" s="20">
        <v>43.7</v>
      </c>
      <c r="S28" s="21">
        <f t="shared" si="59"/>
        <v>17.204724409448819</v>
      </c>
      <c r="T28" s="20">
        <v>44.5</v>
      </c>
      <c r="U28" s="21">
        <f t="shared" si="60"/>
        <v>17.519685039370078</v>
      </c>
      <c r="V28" s="20">
        <v>45.3</v>
      </c>
      <c r="W28" s="21">
        <f t="shared" si="61"/>
        <v>17.834645669291337</v>
      </c>
      <c r="X28" s="20">
        <v>46.1</v>
      </c>
      <c r="Y28" s="21">
        <f t="shared" si="62"/>
        <v>18.1496062992126</v>
      </c>
      <c r="Z28" s="20">
        <v>46.9</v>
      </c>
      <c r="AA28" s="21">
        <f t="shared" si="63"/>
        <v>18.464566929133859</v>
      </c>
      <c r="AB28" s="20">
        <v>47.4</v>
      </c>
      <c r="AC28" s="21">
        <f t="shared" si="64"/>
        <v>18.661417322834644</v>
      </c>
      <c r="AD28" s="20">
        <v>48.25</v>
      </c>
      <c r="AE28" s="21">
        <f t="shared" si="65"/>
        <v>18.996062992125985</v>
      </c>
      <c r="AF28" s="20">
        <v>49</v>
      </c>
      <c r="AG28" s="21">
        <f t="shared" si="66"/>
        <v>19.291338582677167</v>
      </c>
      <c r="AH28" s="20">
        <v>49.75</v>
      </c>
      <c r="AI28" s="21">
        <f t="shared" si="67"/>
        <v>19.586614173228345</v>
      </c>
      <c r="AJ28" s="20">
        <v>50.5</v>
      </c>
      <c r="AK28" s="21">
        <f t="shared" si="68"/>
        <v>19.881889763779526</v>
      </c>
      <c r="AL28" s="20">
        <v>0.25</v>
      </c>
      <c r="AM28" s="26">
        <f t="shared" si="69"/>
        <v>9.8425196850393692E-2</v>
      </c>
    </row>
    <row r="29" spans="1:55">
      <c r="A29" s="57" t="s">
        <v>61</v>
      </c>
      <c r="B29" s="20">
        <v>21.3</v>
      </c>
      <c r="C29" s="21">
        <f t="shared" si="51"/>
        <v>8.3858267716535426</v>
      </c>
      <c r="D29" s="20">
        <v>21.6</v>
      </c>
      <c r="E29" s="21">
        <f t="shared" si="52"/>
        <v>8.5039370078740166</v>
      </c>
      <c r="F29" s="20">
        <v>21.9</v>
      </c>
      <c r="G29" s="21">
        <f t="shared" si="53"/>
        <v>8.6220472440944871</v>
      </c>
      <c r="H29" s="20">
        <v>22.2</v>
      </c>
      <c r="I29" s="25">
        <f t="shared" si="54"/>
        <v>8.7401574803149611</v>
      </c>
      <c r="J29" s="53">
        <v>22.5</v>
      </c>
      <c r="K29" s="27">
        <f t="shared" si="55"/>
        <v>8.8582677165354333</v>
      </c>
      <c r="L29" s="24">
        <v>22.8</v>
      </c>
      <c r="M29" s="21">
        <f t="shared" si="56"/>
        <v>8.9763779527559056</v>
      </c>
      <c r="N29" s="20">
        <v>23.1</v>
      </c>
      <c r="O29" s="21">
        <f t="shared" si="57"/>
        <v>9.0944881889763778</v>
      </c>
      <c r="P29" s="20">
        <v>23.4</v>
      </c>
      <c r="Q29" s="21">
        <f t="shared" si="58"/>
        <v>9.21259842519685</v>
      </c>
      <c r="R29" s="20">
        <v>23.7</v>
      </c>
      <c r="S29" s="21">
        <f t="shared" si="59"/>
        <v>9.3307086614173222</v>
      </c>
      <c r="T29" s="20">
        <v>24</v>
      </c>
      <c r="U29" s="21">
        <f t="shared" si="60"/>
        <v>9.4488188976377945</v>
      </c>
      <c r="V29" s="20">
        <v>24.3</v>
      </c>
      <c r="W29" s="21">
        <f t="shared" si="61"/>
        <v>9.5669291338582685</v>
      </c>
      <c r="X29" s="20">
        <v>24.6</v>
      </c>
      <c r="Y29" s="21">
        <f t="shared" si="62"/>
        <v>9.6850393700787407</v>
      </c>
      <c r="Z29" s="20">
        <v>24.9</v>
      </c>
      <c r="AA29" s="21">
        <f t="shared" si="63"/>
        <v>9.8031496062992112</v>
      </c>
      <c r="AB29" s="20">
        <v>25.2</v>
      </c>
      <c r="AC29" s="21">
        <f t="shared" si="64"/>
        <v>9.9212598425196852</v>
      </c>
      <c r="AD29" s="20">
        <v>25.5</v>
      </c>
      <c r="AE29" s="21">
        <f t="shared" si="65"/>
        <v>10.039370078740157</v>
      </c>
      <c r="AF29" s="20">
        <v>25.8</v>
      </c>
      <c r="AG29" s="21">
        <f t="shared" si="66"/>
        <v>10.15748031496063</v>
      </c>
      <c r="AH29" s="20">
        <v>26.1</v>
      </c>
      <c r="AI29" s="21">
        <f t="shared" si="67"/>
        <v>10.275590551181104</v>
      </c>
      <c r="AJ29" s="20">
        <v>26.4</v>
      </c>
      <c r="AK29" s="21">
        <f t="shared" si="68"/>
        <v>10.393700787401574</v>
      </c>
      <c r="AL29" s="20">
        <v>0.3</v>
      </c>
      <c r="AM29" s="26">
        <f t="shared" si="69"/>
        <v>0.11811023622047244</v>
      </c>
    </row>
    <row r="30" spans="1:55">
      <c r="A30" s="57" t="s">
        <v>62</v>
      </c>
      <c r="B30" s="20">
        <v>19.7</v>
      </c>
      <c r="C30" s="21">
        <f t="shared" si="51"/>
        <v>7.7559055118110232</v>
      </c>
      <c r="D30" s="20">
        <v>19.899999999999999</v>
      </c>
      <c r="E30" s="21">
        <f t="shared" si="52"/>
        <v>7.834645669291338</v>
      </c>
      <c r="F30" s="20">
        <v>20.100000000000001</v>
      </c>
      <c r="G30" s="21">
        <f t="shared" si="53"/>
        <v>7.9133858267716537</v>
      </c>
      <c r="H30" s="20">
        <v>20.3</v>
      </c>
      <c r="I30" s="25">
        <f t="shared" si="54"/>
        <v>7.9921259842519685</v>
      </c>
      <c r="J30" s="53">
        <v>20.5</v>
      </c>
      <c r="K30" s="27">
        <f t="shared" si="55"/>
        <v>8.0708661417322833</v>
      </c>
      <c r="L30" s="24">
        <v>20.7</v>
      </c>
      <c r="M30" s="21">
        <f t="shared" si="56"/>
        <v>8.1496062992125982</v>
      </c>
      <c r="N30" s="20">
        <v>20.9</v>
      </c>
      <c r="O30" s="21">
        <f t="shared" si="57"/>
        <v>8.228346456692913</v>
      </c>
      <c r="P30" s="20">
        <v>21.1</v>
      </c>
      <c r="Q30" s="21">
        <f t="shared" si="58"/>
        <v>8.3070866141732296</v>
      </c>
      <c r="R30" s="20">
        <v>21.3</v>
      </c>
      <c r="S30" s="21">
        <f t="shared" si="59"/>
        <v>8.3858267716535426</v>
      </c>
      <c r="T30" s="20">
        <v>21.5</v>
      </c>
      <c r="U30" s="21">
        <f t="shared" si="60"/>
        <v>8.4645669291338574</v>
      </c>
      <c r="V30" s="20">
        <v>21.7</v>
      </c>
      <c r="W30" s="21">
        <f t="shared" si="61"/>
        <v>8.5433070866141723</v>
      </c>
      <c r="X30" s="20">
        <v>21.9</v>
      </c>
      <c r="Y30" s="21">
        <f t="shared" si="62"/>
        <v>8.6220472440944871</v>
      </c>
      <c r="Z30" s="20">
        <v>22.1</v>
      </c>
      <c r="AA30" s="21">
        <f t="shared" si="63"/>
        <v>8.7007874015748037</v>
      </c>
      <c r="AB30" s="20">
        <v>22.3</v>
      </c>
      <c r="AC30" s="21">
        <f t="shared" si="64"/>
        <v>8.7795275590551185</v>
      </c>
      <c r="AD30" s="20">
        <v>22.5</v>
      </c>
      <c r="AE30" s="21">
        <f t="shared" si="65"/>
        <v>8.8582677165354333</v>
      </c>
      <c r="AF30" s="20">
        <v>22.7</v>
      </c>
      <c r="AG30" s="21">
        <f t="shared" si="66"/>
        <v>8.9370078740157481</v>
      </c>
      <c r="AH30" s="20">
        <v>22.9</v>
      </c>
      <c r="AI30" s="21">
        <f t="shared" si="67"/>
        <v>9.015748031496063</v>
      </c>
      <c r="AJ30" s="20">
        <v>23.1</v>
      </c>
      <c r="AK30" s="21">
        <f t="shared" si="68"/>
        <v>9.0944881889763778</v>
      </c>
      <c r="AL30" s="20">
        <v>0.2</v>
      </c>
      <c r="AM30" s="26">
        <f t="shared" si="69"/>
        <v>7.874015748031496E-2</v>
      </c>
    </row>
    <row r="31" spans="1:55" ht="18" thickBot="1">
      <c r="A31" s="57" t="s">
        <v>63</v>
      </c>
      <c r="B31" s="20">
        <v>102.4</v>
      </c>
      <c r="C31" s="21">
        <f t="shared" si="51"/>
        <v>40.314960629921259</v>
      </c>
      <c r="D31" s="20">
        <v>102.7</v>
      </c>
      <c r="E31" s="21">
        <f t="shared" si="52"/>
        <v>40.433070866141733</v>
      </c>
      <c r="F31" s="20">
        <v>103</v>
      </c>
      <c r="G31" s="21">
        <f t="shared" si="53"/>
        <v>40.551181102362207</v>
      </c>
      <c r="H31" s="20">
        <v>103.2</v>
      </c>
      <c r="I31" s="25">
        <f t="shared" si="54"/>
        <v>40.629921259842519</v>
      </c>
      <c r="J31" s="69">
        <v>103.5</v>
      </c>
      <c r="K31" s="68">
        <f t="shared" si="55"/>
        <v>40.748031496062993</v>
      </c>
      <c r="L31" s="24">
        <v>103.7</v>
      </c>
      <c r="M31" s="21">
        <f t="shared" si="56"/>
        <v>40.826771653543311</v>
      </c>
      <c r="N31" s="20">
        <v>104</v>
      </c>
      <c r="O31" s="21">
        <f t="shared" si="57"/>
        <v>40.944881889763778</v>
      </c>
      <c r="P31" s="20">
        <v>104.2</v>
      </c>
      <c r="Q31" s="21">
        <f t="shared" si="58"/>
        <v>41.023622047244096</v>
      </c>
      <c r="R31" s="20">
        <v>104.5</v>
      </c>
      <c r="S31" s="21">
        <f t="shared" si="59"/>
        <v>41.141732283464563</v>
      </c>
      <c r="T31" s="20">
        <v>104.8</v>
      </c>
      <c r="U31" s="21">
        <f t="shared" si="60"/>
        <v>41.259842519685037</v>
      </c>
      <c r="V31" s="20">
        <v>105</v>
      </c>
      <c r="W31" s="21">
        <f t="shared" si="61"/>
        <v>41.338582677165356</v>
      </c>
      <c r="X31" s="20">
        <v>105.3</v>
      </c>
      <c r="Y31" s="21">
        <f t="shared" si="62"/>
        <v>41.456692913385822</v>
      </c>
      <c r="Z31" s="20">
        <v>105.6</v>
      </c>
      <c r="AA31" s="21">
        <f t="shared" si="63"/>
        <v>41.574803149606296</v>
      </c>
      <c r="AB31" s="20">
        <v>105.8</v>
      </c>
      <c r="AC31" s="21">
        <f t="shared" si="64"/>
        <v>41.653543307086615</v>
      </c>
      <c r="AD31" s="20">
        <v>106.1</v>
      </c>
      <c r="AE31" s="21">
        <f t="shared" si="65"/>
        <v>41.771653543307082</v>
      </c>
      <c r="AF31" s="20">
        <v>106.4</v>
      </c>
      <c r="AG31" s="21">
        <f t="shared" si="66"/>
        <v>41.889763779527563</v>
      </c>
      <c r="AH31" s="20">
        <v>106.6</v>
      </c>
      <c r="AI31" s="21">
        <f t="shared" si="67"/>
        <v>41.968503937007874</v>
      </c>
      <c r="AJ31" s="20">
        <v>106.9</v>
      </c>
      <c r="AK31" s="21">
        <f t="shared" si="68"/>
        <v>42.086614173228348</v>
      </c>
      <c r="AL31" s="20" t="s">
        <v>46</v>
      </c>
      <c r="AM31" s="26" t="s">
        <v>46</v>
      </c>
    </row>
    <row r="32" spans="1:55" ht="18" thickBot="1">
      <c r="A32" s="57" t="s">
        <v>65</v>
      </c>
      <c r="B32" s="20">
        <v>58.2</v>
      </c>
      <c r="C32" s="21">
        <f t="shared" si="51"/>
        <v>22.913385826771655</v>
      </c>
      <c r="D32" s="20">
        <v>59.2</v>
      </c>
      <c r="E32" s="21">
        <f t="shared" si="52"/>
        <v>23.30708661417323</v>
      </c>
      <c r="F32" s="20">
        <v>60</v>
      </c>
      <c r="G32" s="21">
        <f t="shared" si="53"/>
        <v>23.622047244094489</v>
      </c>
      <c r="H32" s="20">
        <v>61</v>
      </c>
      <c r="I32" s="25">
        <f t="shared" si="54"/>
        <v>24.015748031496063</v>
      </c>
      <c r="J32" s="69">
        <v>62.1</v>
      </c>
      <c r="K32" s="68">
        <f t="shared" si="55"/>
        <v>24.448818897637796</v>
      </c>
      <c r="L32" s="24">
        <v>63.3</v>
      </c>
      <c r="M32" s="21">
        <f t="shared" si="56"/>
        <v>24.921259842519685</v>
      </c>
      <c r="N32" s="20">
        <v>64.45</v>
      </c>
      <c r="O32" s="21">
        <f t="shared" si="57"/>
        <v>25.374015748031496</v>
      </c>
      <c r="P32" s="20">
        <v>65.599999999999994</v>
      </c>
      <c r="Q32" s="21">
        <f t="shared" si="58"/>
        <v>25.826771653543304</v>
      </c>
      <c r="R32" s="20">
        <v>66.849999999999994</v>
      </c>
      <c r="S32" s="21">
        <f t="shared" si="59"/>
        <v>26.318897637795274</v>
      </c>
      <c r="T32" s="20">
        <v>68.099999999999994</v>
      </c>
      <c r="U32" s="21">
        <f t="shared" si="60"/>
        <v>26.811023622047241</v>
      </c>
      <c r="V32" s="20">
        <v>69.400000000000006</v>
      </c>
      <c r="W32" s="21">
        <f t="shared" si="61"/>
        <v>27.322834645669293</v>
      </c>
      <c r="X32" s="20">
        <v>70.7</v>
      </c>
      <c r="Y32" s="21">
        <f t="shared" si="62"/>
        <v>27.834645669291341</v>
      </c>
      <c r="Z32" s="20">
        <v>72</v>
      </c>
      <c r="AA32" s="21">
        <f t="shared" si="63"/>
        <v>28.346456692913385</v>
      </c>
      <c r="AB32" s="20">
        <v>73</v>
      </c>
      <c r="AC32" s="21">
        <f t="shared" si="64"/>
        <v>28.740157480314959</v>
      </c>
      <c r="AD32" s="20">
        <v>74.2</v>
      </c>
      <c r="AE32" s="21">
        <f t="shared" si="65"/>
        <v>29.212598425196852</v>
      </c>
      <c r="AF32" s="20">
        <v>75.5</v>
      </c>
      <c r="AG32" s="21">
        <f t="shared" si="66"/>
        <v>29.724409448818896</v>
      </c>
      <c r="AH32" s="20">
        <v>76.7</v>
      </c>
      <c r="AI32" s="21">
        <f t="shared" si="67"/>
        <v>30.196850393700789</v>
      </c>
      <c r="AJ32" s="20">
        <v>77.900000000000006</v>
      </c>
      <c r="AK32" s="21">
        <f t="shared" si="68"/>
        <v>30.669291338582678</v>
      </c>
      <c r="AL32" s="20">
        <v>1.2</v>
      </c>
      <c r="AM32" s="26" t="s">
        <v>46</v>
      </c>
    </row>
    <row r="33" spans="1:4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45" ht="30">
      <c r="A34" s="14" t="s">
        <v>72</v>
      </c>
      <c r="B34" s="15"/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45">
      <c r="A35" s="17" t="s">
        <v>35</v>
      </c>
      <c r="B35" s="18">
        <v>70</v>
      </c>
      <c r="C35" s="19"/>
      <c r="D35" s="18">
        <v>72</v>
      </c>
      <c r="E35" s="19"/>
      <c r="F35" s="18">
        <v>74</v>
      </c>
      <c r="G35" s="19"/>
      <c r="H35" s="18">
        <v>76</v>
      </c>
      <c r="I35" s="19"/>
      <c r="J35" s="18">
        <v>78</v>
      </c>
      <c r="K35" s="19"/>
      <c r="L35" s="18">
        <v>80</v>
      </c>
      <c r="M35" s="19"/>
      <c r="N35" s="31">
        <v>82</v>
      </c>
      <c r="O35" s="32"/>
      <c r="P35" s="18">
        <v>84</v>
      </c>
      <c r="Q35" s="19"/>
      <c r="R35" s="18">
        <v>86</v>
      </c>
      <c r="S35" s="19"/>
      <c r="T35" s="18">
        <v>88</v>
      </c>
      <c r="U35" s="19"/>
      <c r="V35" s="18">
        <v>90</v>
      </c>
      <c r="W35" s="19"/>
      <c r="X35" s="18">
        <v>92</v>
      </c>
      <c r="Y35" s="19"/>
      <c r="Z35" s="18">
        <v>94</v>
      </c>
      <c r="AA35" s="19"/>
      <c r="AB35" s="18">
        <v>96</v>
      </c>
      <c r="AC35" s="19"/>
      <c r="AD35" s="18">
        <v>98</v>
      </c>
      <c r="AE35" s="19"/>
      <c r="AF35" s="18">
        <v>100</v>
      </c>
      <c r="AG35" s="19"/>
      <c r="AH35" s="18">
        <v>102</v>
      </c>
      <c r="AI35" s="19"/>
      <c r="AJ35" s="18">
        <v>104</v>
      </c>
      <c r="AK35" s="19"/>
      <c r="AL35" s="18">
        <v>106</v>
      </c>
      <c r="AM35" s="19"/>
      <c r="AN35" s="18">
        <v>108</v>
      </c>
      <c r="AO35" s="19"/>
      <c r="AP35" s="18">
        <v>110</v>
      </c>
      <c r="AQ35" s="19"/>
      <c r="AR35" s="17" t="s">
        <v>37</v>
      </c>
      <c r="AS35" s="17"/>
    </row>
    <row r="36" spans="1:45">
      <c r="A36" s="57" t="s">
        <v>57</v>
      </c>
      <c r="B36" s="20">
        <v>72</v>
      </c>
      <c r="C36" s="21">
        <f t="shared" ref="C36:C41" si="70">B36/2.54</f>
        <v>28.346456692913385</v>
      </c>
      <c r="D36" s="20">
        <v>74</v>
      </c>
      <c r="E36" s="21">
        <f t="shared" ref="E36:E41" si="71">D36/2.54</f>
        <v>29.133858267716533</v>
      </c>
      <c r="F36" s="20">
        <v>76</v>
      </c>
      <c r="G36" s="21">
        <f t="shared" ref="G36:G41" si="72">F36/2.54</f>
        <v>29.921259842519685</v>
      </c>
      <c r="H36" s="20">
        <v>78</v>
      </c>
      <c r="I36" s="21">
        <f t="shared" ref="I36:I41" si="73">H36/2.54</f>
        <v>30.708661417322833</v>
      </c>
      <c r="J36" s="20">
        <v>80</v>
      </c>
      <c r="K36" s="21">
        <f t="shared" ref="K36:K41" si="74">J36/2.54</f>
        <v>31.496062992125985</v>
      </c>
      <c r="L36" s="20">
        <v>82</v>
      </c>
      <c r="M36" s="25">
        <f t="shared" ref="M36:M41" si="75">L36/2.54</f>
        <v>32.283464566929133</v>
      </c>
      <c r="N36" s="58">
        <v>84</v>
      </c>
      <c r="O36" s="59">
        <f t="shared" ref="O36:O41" si="76">N36/2.54</f>
        <v>33.070866141732282</v>
      </c>
      <c r="P36" s="24">
        <v>86</v>
      </c>
      <c r="Q36" s="21">
        <f t="shared" ref="Q36:Q41" si="77">P36/2.54</f>
        <v>33.85826771653543</v>
      </c>
      <c r="R36" s="24">
        <v>88</v>
      </c>
      <c r="S36" s="21">
        <f t="shared" ref="S36:S41" si="78">R36/2.54</f>
        <v>34.645669291338585</v>
      </c>
      <c r="T36" s="20">
        <v>90</v>
      </c>
      <c r="U36" s="21">
        <f t="shared" ref="U36:U41" si="79">T36/2.54</f>
        <v>35.433070866141733</v>
      </c>
      <c r="V36" s="20">
        <v>92</v>
      </c>
      <c r="W36" s="21">
        <f t="shared" ref="W36:W41" si="80">V36/2.54</f>
        <v>36.220472440944881</v>
      </c>
      <c r="X36" s="20">
        <v>94</v>
      </c>
      <c r="Y36" s="21">
        <f t="shared" ref="Y36:Y41" si="81">X36/2.54</f>
        <v>37.00787401574803</v>
      </c>
      <c r="Z36" s="20">
        <v>96</v>
      </c>
      <c r="AA36" s="21">
        <f t="shared" ref="AA36:AA41" si="82">Z36/2.54</f>
        <v>37.795275590551178</v>
      </c>
      <c r="AB36" s="20">
        <v>98</v>
      </c>
      <c r="AC36" s="21">
        <f t="shared" ref="AC36:AC41" si="83">AB36/2.54</f>
        <v>38.582677165354333</v>
      </c>
      <c r="AD36" s="20">
        <v>100</v>
      </c>
      <c r="AE36" s="21">
        <f t="shared" ref="AE36:AE41" si="84">AD36/2.54</f>
        <v>39.370078740157481</v>
      </c>
      <c r="AF36" s="20">
        <v>102</v>
      </c>
      <c r="AG36" s="21">
        <f t="shared" ref="AG36:AG41" si="85">AF36/2.54</f>
        <v>40.15748031496063</v>
      </c>
      <c r="AH36" s="20">
        <v>104</v>
      </c>
      <c r="AI36" s="21">
        <f t="shared" ref="AI36:AI41" si="86">AH36/2.54</f>
        <v>40.944881889763778</v>
      </c>
      <c r="AJ36" s="20">
        <v>106</v>
      </c>
      <c r="AK36" s="21">
        <f t="shared" ref="AK36:AK41" si="87">AJ36/2.54</f>
        <v>41.732283464566926</v>
      </c>
      <c r="AL36" s="20">
        <v>108</v>
      </c>
      <c r="AM36" s="21">
        <f t="shared" ref="AM36:AM41" si="88">AL36/2.54</f>
        <v>42.519685039370081</v>
      </c>
      <c r="AN36" s="20">
        <v>110</v>
      </c>
      <c r="AO36" s="21">
        <f t="shared" ref="AO36:AO41" si="89">AN36/2.54</f>
        <v>43.30708661417323</v>
      </c>
      <c r="AP36" s="20">
        <v>112</v>
      </c>
      <c r="AQ36" s="21">
        <f t="shared" ref="AQ36:AQ41" si="90">AP36/2.54</f>
        <v>44.094488188976378</v>
      </c>
      <c r="AR36" s="20">
        <f>AP36-AN36</f>
        <v>2</v>
      </c>
      <c r="AS36" s="26">
        <f t="shared" ref="AS36:AS38" si="91">AR36/2.54</f>
        <v>0.78740157480314954</v>
      </c>
    </row>
    <row r="37" spans="1:45">
      <c r="A37" s="57" t="s">
        <v>58</v>
      </c>
      <c r="B37" s="20">
        <v>88</v>
      </c>
      <c r="C37" s="21">
        <f t="shared" si="70"/>
        <v>34.645669291338585</v>
      </c>
      <c r="D37" s="20">
        <v>90</v>
      </c>
      <c r="E37" s="21">
        <f t="shared" si="71"/>
        <v>35.433070866141733</v>
      </c>
      <c r="F37" s="20">
        <v>92</v>
      </c>
      <c r="G37" s="21">
        <f t="shared" si="72"/>
        <v>36.220472440944881</v>
      </c>
      <c r="H37" s="20">
        <v>94</v>
      </c>
      <c r="I37" s="21">
        <f t="shared" si="73"/>
        <v>37.00787401574803</v>
      </c>
      <c r="J37" s="20">
        <v>96</v>
      </c>
      <c r="K37" s="21">
        <f t="shared" si="74"/>
        <v>37.795275590551178</v>
      </c>
      <c r="L37" s="20">
        <v>98</v>
      </c>
      <c r="M37" s="25">
        <f t="shared" si="75"/>
        <v>38.582677165354333</v>
      </c>
      <c r="N37" s="58">
        <v>100</v>
      </c>
      <c r="O37" s="59">
        <f t="shared" si="76"/>
        <v>39.370078740157481</v>
      </c>
      <c r="P37" s="24">
        <v>102</v>
      </c>
      <c r="Q37" s="21">
        <f t="shared" si="77"/>
        <v>40.15748031496063</v>
      </c>
      <c r="R37" s="24">
        <v>104</v>
      </c>
      <c r="S37" s="21">
        <f t="shared" si="78"/>
        <v>40.944881889763778</v>
      </c>
      <c r="T37" s="20">
        <v>106</v>
      </c>
      <c r="U37" s="21">
        <f t="shared" si="79"/>
        <v>41.732283464566926</v>
      </c>
      <c r="V37" s="20">
        <v>108</v>
      </c>
      <c r="W37" s="21">
        <f t="shared" si="80"/>
        <v>42.519685039370081</v>
      </c>
      <c r="X37" s="20">
        <v>110</v>
      </c>
      <c r="Y37" s="21">
        <f t="shared" si="81"/>
        <v>43.30708661417323</v>
      </c>
      <c r="Z37" s="20">
        <v>112</v>
      </c>
      <c r="AA37" s="21">
        <f t="shared" si="82"/>
        <v>44.094488188976378</v>
      </c>
      <c r="AB37" s="20">
        <v>114</v>
      </c>
      <c r="AC37" s="21">
        <f t="shared" si="83"/>
        <v>44.881889763779526</v>
      </c>
      <c r="AD37" s="20">
        <v>116</v>
      </c>
      <c r="AE37" s="21">
        <f t="shared" si="84"/>
        <v>45.669291338582674</v>
      </c>
      <c r="AF37" s="20">
        <v>118</v>
      </c>
      <c r="AG37" s="21">
        <f t="shared" si="85"/>
        <v>46.45669291338583</v>
      </c>
      <c r="AH37" s="20">
        <v>120</v>
      </c>
      <c r="AI37" s="21">
        <f t="shared" si="86"/>
        <v>47.244094488188978</v>
      </c>
      <c r="AJ37" s="20">
        <v>122</v>
      </c>
      <c r="AK37" s="21">
        <f t="shared" si="87"/>
        <v>48.031496062992126</v>
      </c>
      <c r="AL37" s="20">
        <v>124</v>
      </c>
      <c r="AM37" s="21">
        <f t="shared" si="88"/>
        <v>48.818897637795274</v>
      </c>
      <c r="AN37" s="20">
        <v>126</v>
      </c>
      <c r="AO37" s="21">
        <f t="shared" si="89"/>
        <v>49.606299212598422</v>
      </c>
      <c r="AP37" s="20">
        <v>128</v>
      </c>
      <c r="AQ37" s="21">
        <f t="shared" si="90"/>
        <v>50.393700787401571</v>
      </c>
      <c r="AR37" s="20">
        <f>AP37-AN37</f>
        <v>2</v>
      </c>
      <c r="AS37" s="26">
        <f t="shared" si="91"/>
        <v>0.78740157480314954</v>
      </c>
    </row>
    <row r="38" spans="1:45">
      <c r="A38" s="57" t="s">
        <v>59</v>
      </c>
      <c r="B38" s="20">
        <v>21.25</v>
      </c>
      <c r="C38" s="21">
        <f t="shared" si="70"/>
        <v>8.3661417322834648</v>
      </c>
      <c r="D38" s="20">
        <v>21.5</v>
      </c>
      <c r="E38" s="21">
        <f t="shared" si="71"/>
        <v>8.4645669291338574</v>
      </c>
      <c r="F38" s="20">
        <v>21.75</v>
      </c>
      <c r="G38" s="21">
        <f t="shared" si="72"/>
        <v>8.5629921259842519</v>
      </c>
      <c r="H38" s="20">
        <v>22</v>
      </c>
      <c r="I38" s="21">
        <f t="shared" si="73"/>
        <v>8.6614173228346463</v>
      </c>
      <c r="J38" s="20">
        <v>22.25</v>
      </c>
      <c r="K38" s="21">
        <f t="shared" si="74"/>
        <v>8.7598425196850389</v>
      </c>
      <c r="L38" s="20">
        <v>22.5</v>
      </c>
      <c r="M38" s="25">
        <f t="shared" si="75"/>
        <v>8.8582677165354333</v>
      </c>
      <c r="N38" s="58">
        <v>22.75</v>
      </c>
      <c r="O38" s="59">
        <f t="shared" si="76"/>
        <v>8.956692913385826</v>
      </c>
      <c r="P38" s="24">
        <v>23</v>
      </c>
      <c r="Q38" s="21">
        <f t="shared" si="77"/>
        <v>9.0551181102362204</v>
      </c>
      <c r="R38" s="24">
        <v>23.25</v>
      </c>
      <c r="S38" s="21">
        <f t="shared" si="78"/>
        <v>9.1535433070866148</v>
      </c>
      <c r="T38" s="20">
        <v>23.5</v>
      </c>
      <c r="U38" s="21">
        <f t="shared" si="79"/>
        <v>9.2519685039370074</v>
      </c>
      <c r="V38" s="20">
        <v>23.75</v>
      </c>
      <c r="W38" s="21">
        <f t="shared" si="80"/>
        <v>9.3503937007874018</v>
      </c>
      <c r="X38" s="20">
        <v>24</v>
      </c>
      <c r="Y38" s="21">
        <f t="shared" si="81"/>
        <v>9.4488188976377945</v>
      </c>
      <c r="Z38" s="20">
        <v>24.25</v>
      </c>
      <c r="AA38" s="21">
        <f t="shared" si="82"/>
        <v>9.5472440944881889</v>
      </c>
      <c r="AB38" s="20">
        <v>24.5</v>
      </c>
      <c r="AC38" s="21">
        <f t="shared" si="83"/>
        <v>9.6456692913385833</v>
      </c>
      <c r="AD38" s="20">
        <v>24.75</v>
      </c>
      <c r="AE38" s="21">
        <f t="shared" si="84"/>
        <v>9.7440944881889759</v>
      </c>
      <c r="AF38" s="20">
        <v>25</v>
      </c>
      <c r="AG38" s="21">
        <f t="shared" si="85"/>
        <v>9.8425196850393704</v>
      </c>
      <c r="AH38" s="20">
        <v>25.25</v>
      </c>
      <c r="AI38" s="21">
        <f t="shared" si="86"/>
        <v>9.940944881889763</v>
      </c>
      <c r="AJ38" s="20">
        <v>25.5</v>
      </c>
      <c r="AK38" s="21">
        <f t="shared" si="87"/>
        <v>10.039370078740157</v>
      </c>
      <c r="AL38" s="20">
        <v>25.75</v>
      </c>
      <c r="AM38" s="21">
        <f t="shared" si="88"/>
        <v>10.137795275590552</v>
      </c>
      <c r="AN38" s="20">
        <v>26</v>
      </c>
      <c r="AO38" s="21">
        <f t="shared" si="89"/>
        <v>10.236220472440944</v>
      </c>
      <c r="AP38" s="20">
        <v>26.25</v>
      </c>
      <c r="AQ38" s="21">
        <f t="shared" si="90"/>
        <v>10.334645669291339</v>
      </c>
      <c r="AR38" s="20">
        <f>AP38-AN38</f>
        <v>0.25</v>
      </c>
      <c r="AS38" s="26">
        <f t="shared" si="91"/>
        <v>9.8425196850393692E-2</v>
      </c>
    </row>
    <row r="39" spans="1:45">
      <c r="A39" s="57" t="s">
        <v>60</v>
      </c>
      <c r="B39" s="20">
        <v>38.25</v>
      </c>
      <c r="C39" s="21">
        <f t="shared" si="70"/>
        <v>15.059055118110235</v>
      </c>
      <c r="D39" s="20">
        <v>38.5</v>
      </c>
      <c r="E39" s="21">
        <f t="shared" si="71"/>
        <v>15.15748031496063</v>
      </c>
      <c r="F39" s="20">
        <v>38.75</v>
      </c>
      <c r="G39" s="21">
        <f t="shared" si="72"/>
        <v>15.255905511811024</v>
      </c>
      <c r="H39" s="20">
        <v>39</v>
      </c>
      <c r="I39" s="21">
        <f t="shared" si="73"/>
        <v>15.354330708661417</v>
      </c>
      <c r="J39" s="20">
        <v>39.25</v>
      </c>
      <c r="K39" s="25">
        <f t="shared" si="74"/>
        <v>15.452755905511811</v>
      </c>
      <c r="L39" s="53">
        <v>39.5</v>
      </c>
      <c r="M39" s="27">
        <f t="shared" si="75"/>
        <v>15.551181102362204</v>
      </c>
      <c r="N39" s="60">
        <v>39.75</v>
      </c>
      <c r="O39" s="61">
        <f t="shared" si="76"/>
        <v>15.649606299212598</v>
      </c>
      <c r="P39" s="24">
        <v>40.32</v>
      </c>
      <c r="Q39" s="21">
        <f t="shared" si="77"/>
        <v>15.874015748031496</v>
      </c>
      <c r="R39" s="20">
        <v>40.85</v>
      </c>
      <c r="S39" s="21">
        <f t="shared" si="78"/>
        <v>16.08267716535433</v>
      </c>
      <c r="T39" s="20">
        <v>41.35</v>
      </c>
      <c r="U39" s="21">
        <f t="shared" si="79"/>
        <v>16.279527559055119</v>
      </c>
      <c r="V39" s="20">
        <v>41.85</v>
      </c>
      <c r="W39" s="21">
        <f t="shared" si="80"/>
        <v>16.476377952755907</v>
      </c>
      <c r="X39" s="20">
        <v>42.6</v>
      </c>
      <c r="Y39" s="21">
        <f t="shared" si="81"/>
        <v>16.771653543307085</v>
      </c>
      <c r="Z39" s="20">
        <v>43.3</v>
      </c>
      <c r="AA39" s="21">
        <f t="shared" si="82"/>
        <v>17.047244094488189</v>
      </c>
      <c r="AB39" s="20">
        <v>44</v>
      </c>
      <c r="AC39" s="21">
        <f t="shared" si="83"/>
        <v>17.322834645669293</v>
      </c>
      <c r="AD39" s="20">
        <v>44.7</v>
      </c>
      <c r="AE39" s="21">
        <f t="shared" si="84"/>
        <v>17.598425196850396</v>
      </c>
      <c r="AF39" s="20">
        <v>45.4</v>
      </c>
      <c r="AG39" s="21">
        <f t="shared" si="85"/>
        <v>17.874015748031496</v>
      </c>
      <c r="AH39" s="20">
        <v>46.2</v>
      </c>
      <c r="AI39" s="21">
        <f t="shared" si="86"/>
        <v>18.188976377952756</v>
      </c>
      <c r="AJ39" s="20">
        <v>46.92</v>
      </c>
      <c r="AK39" s="21">
        <f t="shared" si="87"/>
        <v>18.472440944881889</v>
      </c>
      <c r="AL39" s="20">
        <v>47.63</v>
      </c>
      <c r="AM39" s="21">
        <f t="shared" si="88"/>
        <v>18.751968503937007</v>
      </c>
      <c r="AN39" s="20">
        <v>48.34</v>
      </c>
      <c r="AO39" s="21">
        <f t="shared" si="89"/>
        <v>19.031496062992126</v>
      </c>
      <c r="AP39" s="20">
        <v>49</v>
      </c>
      <c r="AQ39" s="21">
        <f t="shared" si="90"/>
        <v>19.291338582677167</v>
      </c>
      <c r="AR39" s="20"/>
      <c r="AS39" s="26"/>
    </row>
    <row r="40" spans="1:45">
      <c r="A40" s="57" t="s">
        <v>61</v>
      </c>
      <c r="B40" s="20">
        <v>19.7</v>
      </c>
      <c r="C40" s="21">
        <f t="shared" si="70"/>
        <v>7.7559055118110232</v>
      </c>
      <c r="D40" s="20">
        <v>20</v>
      </c>
      <c r="E40" s="21">
        <f t="shared" si="71"/>
        <v>7.8740157480314963</v>
      </c>
      <c r="F40" s="20">
        <v>20.3</v>
      </c>
      <c r="G40" s="21">
        <f t="shared" si="72"/>
        <v>7.9921259842519685</v>
      </c>
      <c r="H40" s="20">
        <v>20.6</v>
      </c>
      <c r="I40" s="21">
        <f t="shared" si="73"/>
        <v>8.1102362204724407</v>
      </c>
      <c r="J40" s="20">
        <v>20.9</v>
      </c>
      <c r="K40" s="21">
        <f t="shared" si="74"/>
        <v>8.228346456692913</v>
      </c>
      <c r="L40" s="20">
        <v>21.2</v>
      </c>
      <c r="M40" s="25">
        <f t="shared" si="75"/>
        <v>8.3464566929133852</v>
      </c>
      <c r="N40" s="58">
        <v>21.5</v>
      </c>
      <c r="O40" s="59">
        <f t="shared" si="76"/>
        <v>8.4645669291338574</v>
      </c>
      <c r="P40" s="24">
        <v>21.8</v>
      </c>
      <c r="Q40" s="21">
        <f t="shared" si="77"/>
        <v>8.5826771653543314</v>
      </c>
      <c r="R40" s="24">
        <v>22.1</v>
      </c>
      <c r="S40" s="21">
        <f t="shared" si="78"/>
        <v>8.7007874015748037</v>
      </c>
      <c r="T40" s="20">
        <v>22.4</v>
      </c>
      <c r="U40" s="21">
        <f t="shared" si="79"/>
        <v>8.8188976377952741</v>
      </c>
      <c r="V40" s="20">
        <v>22.7</v>
      </c>
      <c r="W40" s="21">
        <f t="shared" si="80"/>
        <v>8.9370078740157481</v>
      </c>
      <c r="X40" s="20">
        <v>23</v>
      </c>
      <c r="Y40" s="21">
        <f t="shared" si="81"/>
        <v>9.0551181102362204</v>
      </c>
      <c r="Z40" s="20">
        <v>23.3</v>
      </c>
      <c r="AA40" s="21">
        <f t="shared" si="82"/>
        <v>9.1732283464566926</v>
      </c>
      <c r="AB40" s="20">
        <v>23.6</v>
      </c>
      <c r="AC40" s="21">
        <f t="shared" si="83"/>
        <v>9.2913385826771666</v>
      </c>
      <c r="AD40" s="20">
        <v>23.9</v>
      </c>
      <c r="AE40" s="21">
        <f t="shared" si="84"/>
        <v>9.4094488188976371</v>
      </c>
      <c r="AF40" s="20">
        <v>24.2</v>
      </c>
      <c r="AG40" s="21">
        <f t="shared" si="85"/>
        <v>9.5275590551181093</v>
      </c>
      <c r="AH40" s="20">
        <v>24.5</v>
      </c>
      <c r="AI40" s="21">
        <f t="shared" si="86"/>
        <v>9.6456692913385833</v>
      </c>
      <c r="AJ40" s="20">
        <v>24.8</v>
      </c>
      <c r="AK40" s="21">
        <f t="shared" si="87"/>
        <v>9.7637795275590555</v>
      </c>
      <c r="AL40" s="20">
        <v>25.1</v>
      </c>
      <c r="AM40" s="21">
        <f t="shared" si="88"/>
        <v>9.8818897637795278</v>
      </c>
      <c r="AN40" s="20">
        <v>25.4</v>
      </c>
      <c r="AO40" s="21">
        <f t="shared" si="89"/>
        <v>10</v>
      </c>
      <c r="AP40" s="20">
        <v>25.7</v>
      </c>
      <c r="AQ40" s="21">
        <f t="shared" si="90"/>
        <v>10.118110236220472</v>
      </c>
      <c r="AR40" s="20">
        <f>AP40-AN40</f>
        <v>0.30000000000000071</v>
      </c>
      <c r="AS40" s="26">
        <f t="shared" ref="AS40:AS41" si="92">AR40/2.54</f>
        <v>0.11811023622047272</v>
      </c>
    </row>
    <row r="41" spans="1:45">
      <c r="A41" s="57" t="s">
        <v>62</v>
      </c>
      <c r="B41" s="20">
        <v>18.3</v>
      </c>
      <c r="C41" s="21">
        <f t="shared" si="70"/>
        <v>7.2047244094488194</v>
      </c>
      <c r="D41" s="20">
        <v>18.5</v>
      </c>
      <c r="E41" s="21">
        <f t="shared" si="71"/>
        <v>7.2834645669291334</v>
      </c>
      <c r="F41" s="20">
        <v>18.7</v>
      </c>
      <c r="G41" s="21">
        <f t="shared" si="72"/>
        <v>7.3622047244094482</v>
      </c>
      <c r="H41" s="20">
        <v>18.899999999999999</v>
      </c>
      <c r="I41" s="21">
        <f t="shared" si="73"/>
        <v>7.440944881889763</v>
      </c>
      <c r="J41" s="20">
        <v>19.100000000000001</v>
      </c>
      <c r="K41" s="21">
        <f t="shared" si="74"/>
        <v>7.5196850393700796</v>
      </c>
      <c r="L41" s="20">
        <v>19.3</v>
      </c>
      <c r="M41" s="25">
        <f t="shared" si="75"/>
        <v>7.5984251968503935</v>
      </c>
      <c r="N41" s="58">
        <v>19.5</v>
      </c>
      <c r="O41" s="59">
        <f t="shared" si="76"/>
        <v>7.6771653543307083</v>
      </c>
      <c r="P41" s="24">
        <v>19.7</v>
      </c>
      <c r="Q41" s="21">
        <f t="shared" si="77"/>
        <v>7.7559055118110232</v>
      </c>
      <c r="R41" s="24">
        <v>19.899999999999999</v>
      </c>
      <c r="S41" s="21">
        <f t="shared" si="78"/>
        <v>7.834645669291338</v>
      </c>
      <c r="T41" s="20">
        <v>20.100000000000001</v>
      </c>
      <c r="U41" s="21">
        <f t="shared" si="79"/>
        <v>7.9133858267716537</v>
      </c>
      <c r="V41" s="20">
        <v>20.3</v>
      </c>
      <c r="W41" s="21">
        <f t="shared" si="80"/>
        <v>7.9921259842519685</v>
      </c>
      <c r="X41" s="20">
        <v>20.5</v>
      </c>
      <c r="Y41" s="21">
        <f t="shared" si="81"/>
        <v>8.0708661417322833</v>
      </c>
      <c r="Z41" s="20">
        <v>20.7</v>
      </c>
      <c r="AA41" s="21">
        <f t="shared" si="82"/>
        <v>8.1496062992125982</v>
      </c>
      <c r="AB41" s="20">
        <v>20.9</v>
      </c>
      <c r="AC41" s="21">
        <f t="shared" si="83"/>
        <v>8.228346456692913</v>
      </c>
      <c r="AD41" s="20">
        <v>21.1</v>
      </c>
      <c r="AE41" s="21">
        <f t="shared" si="84"/>
        <v>8.3070866141732296</v>
      </c>
      <c r="AF41" s="20">
        <v>21.3</v>
      </c>
      <c r="AG41" s="21">
        <f t="shared" si="85"/>
        <v>8.3858267716535426</v>
      </c>
      <c r="AH41" s="20">
        <v>21.5</v>
      </c>
      <c r="AI41" s="21">
        <f t="shared" si="86"/>
        <v>8.4645669291338574</v>
      </c>
      <c r="AJ41" s="20">
        <v>21.7</v>
      </c>
      <c r="AK41" s="21">
        <f t="shared" si="87"/>
        <v>8.5433070866141723</v>
      </c>
      <c r="AL41" s="20">
        <v>21.9</v>
      </c>
      <c r="AM41" s="21">
        <f t="shared" si="88"/>
        <v>8.6220472440944871</v>
      </c>
      <c r="AN41" s="20">
        <v>22.1</v>
      </c>
      <c r="AO41" s="21">
        <f t="shared" si="89"/>
        <v>8.7007874015748037</v>
      </c>
      <c r="AP41" s="20">
        <v>22.3</v>
      </c>
      <c r="AQ41" s="21">
        <f t="shared" si="90"/>
        <v>8.7795275590551185</v>
      </c>
      <c r="AR41" s="20">
        <f>AP41-AN41</f>
        <v>0.19999999999999929</v>
      </c>
      <c r="AS41" s="26">
        <f t="shared" si="92"/>
        <v>7.8740157480314682E-2</v>
      </c>
    </row>
    <row r="42" spans="1:45" ht="18" thickBot="1">
      <c r="A42" s="57" t="s">
        <v>63</v>
      </c>
      <c r="B42" s="20">
        <v>104.4</v>
      </c>
      <c r="C42" s="21">
        <f t="shared" ref="C42:C43" si="93">B42/2.54</f>
        <v>41.102362204724415</v>
      </c>
      <c r="D42" s="20">
        <v>105.2</v>
      </c>
      <c r="E42" s="21">
        <f t="shared" ref="E42:E43" si="94">D42/2.54</f>
        <v>41.417322834645667</v>
      </c>
      <c r="F42" s="20">
        <v>105.4</v>
      </c>
      <c r="G42" s="21">
        <f t="shared" ref="G42:G43" si="95">F42/2.54</f>
        <v>41.496062992125985</v>
      </c>
      <c r="H42" s="20">
        <v>105.7</v>
      </c>
      <c r="I42" s="21">
        <f t="shared" ref="I42:I43" si="96">H42/2.54</f>
        <v>41.614173228346459</v>
      </c>
      <c r="J42" s="20">
        <v>106</v>
      </c>
      <c r="K42" s="21">
        <f t="shared" ref="K42:K43" si="97">J42/2.54</f>
        <v>41.732283464566926</v>
      </c>
      <c r="L42" s="20">
        <v>106.2</v>
      </c>
      <c r="M42" s="25">
        <f t="shared" ref="M42:M43" si="98">L42/2.54</f>
        <v>41.811023622047244</v>
      </c>
      <c r="N42" s="62">
        <v>106.5</v>
      </c>
      <c r="O42" s="63">
        <f t="shared" ref="O42:O43" si="99">N42/2.54</f>
        <v>41.929133858267718</v>
      </c>
      <c r="P42" s="24">
        <v>106.7</v>
      </c>
      <c r="Q42" s="21">
        <f t="shared" ref="Q42:Q43" si="100">P42/2.54</f>
        <v>42.00787401574803</v>
      </c>
      <c r="R42" s="20">
        <v>107</v>
      </c>
      <c r="S42" s="21">
        <f t="shared" ref="S42:S43" si="101">R42/2.54</f>
        <v>42.125984251968504</v>
      </c>
      <c r="T42" s="20">
        <v>107.3</v>
      </c>
      <c r="U42" s="21">
        <f t="shared" ref="U42:U43" si="102">T42/2.54</f>
        <v>42.244094488188978</v>
      </c>
      <c r="V42" s="20">
        <v>107.5</v>
      </c>
      <c r="W42" s="21">
        <f t="shared" ref="W42:W43" si="103">V42/2.54</f>
        <v>42.322834645669289</v>
      </c>
      <c r="X42" s="20">
        <v>107.8</v>
      </c>
      <c r="Y42" s="21">
        <f t="shared" ref="Y42:Y43" si="104">X42/2.54</f>
        <v>42.440944881889763</v>
      </c>
      <c r="Z42" s="20">
        <v>108</v>
      </c>
      <c r="AA42" s="21">
        <f t="shared" ref="AA42:AA43" si="105">Z42/2.54</f>
        <v>42.519685039370081</v>
      </c>
      <c r="AB42" s="20">
        <v>108.3</v>
      </c>
      <c r="AC42" s="21">
        <f t="shared" ref="AC42:AC43" si="106">AB42/2.54</f>
        <v>42.637795275590548</v>
      </c>
      <c r="AD42" s="20">
        <v>108.6</v>
      </c>
      <c r="AE42" s="21">
        <f t="shared" ref="AE42:AE43" si="107">AD42/2.54</f>
        <v>42.755905511811022</v>
      </c>
      <c r="AF42" s="20">
        <v>108.8</v>
      </c>
      <c r="AG42" s="21">
        <f t="shared" ref="AG42:AG43" si="108">AF42/2.54</f>
        <v>42.834645669291334</v>
      </c>
      <c r="AH42" s="20">
        <v>109.1</v>
      </c>
      <c r="AI42" s="21">
        <f t="shared" ref="AI42:AI43" si="109">AH42/2.54</f>
        <v>42.952755905511808</v>
      </c>
      <c r="AJ42" s="20">
        <v>109.4</v>
      </c>
      <c r="AK42" s="21">
        <f t="shared" ref="AK42:AK43" si="110">AJ42/2.54</f>
        <v>43.070866141732282</v>
      </c>
      <c r="AL42" s="20">
        <v>109.6</v>
      </c>
      <c r="AM42" s="21">
        <f t="shared" ref="AM42:AM43" si="111">AL42/2.54</f>
        <v>43.149606299212593</v>
      </c>
      <c r="AN42" s="20">
        <v>109.9</v>
      </c>
      <c r="AO42" s="21">
        <f t="shared" ref="AO42:AO43" si="112">AN42/2.54</f>
        <v>43.267716535433074</v>
      </c>
      <c r="AP42" s="20">
        <v>110.1</v>
      </c>
      <c r="AQ42" s="21">
        <f t="shared" ref="AQ42:AQ43" si="113">AP42/2.54</f>
        <v>43.346456692913385</v>
      </c>
      <c r="AR42" s="20"/>
      <c r="AS42" s="26" t="s">
        <v>46</v>
      </c>
    </row>
    <row r="43" spans="1:45" ht="18" thickBot="1">
      <c r="A43" s="57" t="s">
        <v>64</v>
      </c>
      <c r="B43" s="20">
        <v>54.4</v>
      </c>
      <c r="C43" s="21">
        <f t="shared" si="93"/>
        <v>21.417322834645667</v>
      </c>
      <c r="D43" s="20">
        <v>55.35</v>
      </c>
      <c r="E43" s="21">
        <f t="shared" si="94"/>
        <v>21.791338582677167</v>
      </c>
      <c r="F43" s="20">
        <v>56.3</v>
      </c>
      <c r="G43" s="21">
        <f t="shared" si="95"/>
        <v>22.165354330708659</v>
      </c>
      <c r="H43" s="20">
        <v>57.2</v>
      </c>
      <c r="I43" s="21">
        <f t="shared" si="96"/>
        <v>22.519685039370078</v>
      </c>
      <c r="J43" s="20">
        <v>58.15</v>
      </c>
      <c r="K43" s="21">
        <f t="shared" si="97"/>
        <v>22.893700787401574</v>
      </c>
      <c r="L43" s="20">
        <v>59</v>
      </c>
      <c r="M43" s="25">
        <f t="shared" si="98"/>
        <v>23.228346456692915</v>
      </c>
      <c r="N43" s="62">
        <v>60</v>
      </c>
      <c r="O43" s="63">
        <f t="shared" si="99"/>
        <v>23.622047244094489</v>
      </c>
      <c r="P43" s="24">
        <v>61.1</v>
      </c>
      <c r="Q43" s="21">
        <f t="shared" si="100"/>
        <v>24.055118110236222</v>
      </c>
      <c r="R43" s="20">
        <v>62.3</v>
      </c>
      <c r="S43" s="21">
        <f t="shared" si="101"/>
        <v>24.527559055118108</v>
      </c>
      <c r="T43" s="20">
        <v>63.5</v>
      </c>
      <c r="U43" s="21">
        <f t="shared" si="102"/>
        <v>25</v>
      </c>
      <c r="V43" s="20">
        <v>64.599999999999994</v>
      </c>
      <c r="W43" s="21">
        <f t="shared" si="103"/>
        <v>25.43307086614173</v>
      </c>
      <c r="X43" s="20">
        <v>66</v>
      </c>
      <c r="Y43" s="21">
        <f t="shared" si="104"/>
        <v>25.984251968503937</v>
      </c>
      <c r="Z43" s="20">
        <v>67.2</v>
      </c>
      <c r="AA43" s="21">
        <f t="shared" si="105"/>
        <v>26.456692913385826</v>
      </c>
      <c r="AB43" s="20">
        <v>68.25</v>
      </c>
      <c r="AC43" s="21">
        <f t="shared" si="106"/>
        <v>26.870078740157481</v>
      </c>
      <c r="AD43" s="20">
        <v>69.55</v>
      </c>
      <c r="AE43" s="21">
        <f t="shared" si="107"/>
        <v>27.381889763779526</v>
      </c>
      <c r="AF43" s="20">
        <v>70.849999999999994</v>
      </c>
      <c r="AG43" s="21">
        <f t="shared" si="108"/>
        <v>27.893700787401571</v>
      </c>
      <c r="AH43" s="20">
        <v>72</v>
      </c>
      <c r="AI43" s="21">
        <f t="shared" si="109"/>
        <v>28.346456692913385</v>
      </c>
      <c r="AJ43" s="20">
        <v>73.3</v>
      </c>
      <c r="AK43" s="21">
        <f t="shared" si="110"/>
        <v>28.858267716535433</v>
      </c>
      <c r="AL43" s="20">
        <v>74.599999999999994</v>
      </c>
      <c r="AM43" s="21">
        <f t="shared" si="111"/>
        <v>29.370078740157478</v>
      </c>
      <c r="AN43" s="20">
        <v>75.900000000000006</v>
      </c>
      <c r="AO43" s="21">
        <f t="shared" si="112"/>
        <v>29.88188976377953</v>
      </c>
      <c r="AP43" s="20">
        <v>77.099999999999994</v>
      </c>
      <c r="AQ43" s="21">
        <f t="shared" si="113"/>
        <v>30.354330708661415</v>
      </c>
      <c r="AR43" s="20"/>
      <c r="AS43" s="26" t="s">
        <v>46</v>
      </c>
    </row>
    <row r="44" spans="1:45" ht="18" thickBot="1">
      <c r="A44" s="57"/>
      <c r="B44" s="20"/>
      <c r="C44" s="21"/>
      <c r="D44" s="20"/>
      <c r="E44" s="21"/>
      <c r="F44" s="20"/>
      <c r="G44" s="21"/>
      <c r="H44" s="20"/>
      <c r="I44" s="21"/>
      <c r="J44" s="20"/>
      <c r="K44" s="21"/>
      <c r="L44" s="20"/>
      <c r="M44" s="25"/>
      <c r="N44" s="62"/>
      <c r="O44" s="63"/>
      <c r="P44" s="24"/>
      <c r="Q44" s="21"/>
      <c r="R44" s="20"/>
      <c r="S44" s="21"/>
      <c r="T44" s="20"/>
      <c r="U44" s="21"/>
      <c r="V44" s="20"/>
      <c r="W44" s="21"/>
      <c r="X44" s="20"/>
      <c r="Y44" s="21"/>
      <c r="Z44" s="20"/>
      <c r="AA44" s="21"/>
      <c r="AB44" s="20"/>
      <c r="AC44" s="21"/>
      <c r="AD44" s="20"/>
      <c r="AE44" s="21"/>
      <c r="AF44" s="20"/>
      <c r="AG44" s="21"/>
      <c r="AH44" s="20"/>
      <c r="AI44" s="21"/>
      <c r="AJ44" s="20"/>
      <c r="AK44" s="21"/>
      <c r="AL44" s="20"/>
      <c r="AM44" s="21"/>
      <c r="AN44" s="20"/>
      <c r="AO44" s="21"/>
      <c r="AP44" s="20"/>
      <c r="AQ44" s="21"/>
      <c r="AR44" s="20"/>
      <c r="AS44" s="26"/>
    </row>
    <row r="45" spans="1:45" ht="30">
      <c r="A45" s="14" t="s">
        <v>73</v>
      </c>
      <c r="B45" s="15"/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45">
      <c r="A46" s="17" t="s">
        <v>35</v>
      </c>
      <c r="B46" s="18">
        <v>70</v>
      </c>
      <c r="C46" s="19"/>
      <c r="D46" s="18">
        <v>72</v>
      </c>
      <c r="E46" s="19"/>
      <c r="F46" s="18">
        <v>74</v>
      </c>
      <c r="G46" s="19"/>
      <c r="H46" s="18">
        <v>76</v>
      </c>
      <c r="I46" s="19"/>
      <c r="J46" s="18">
        <v>78</v>
      </c>
      <c r="K46" s="19"/>
      <c r="L46" s="18">
        <v>80</v>
      </c>
      <c r="M46" s="19"/>
      <c r="N46" s="31">
        <v>82</v>
      </c>
      <c r="O46" s="32"/>
      <c r="P46" s="18">
        <v>84</v>
      </c>
      <c r="Q46" s="19"/>
      <c r="R46" s="18">
        <v>86</v>
      </c>
      <c r="S46" s="19"/>
      <c r="T46" s="18">
        <v>88</v>
      </c>
      <c r="U46" s="19"/>
      <c r="V46" s="18">
        <v>90</v>
      </c>
      <c r="W46" s="19"/>
      <c r="X46" s="18">
        <v>92</v>
      </c>
      <c r="Y46" s="19"/>
      <c r="Z46" s="18">
        <v>94</v>
      </c>
      <c r="AA46" s="19"/>
      <c r="AB46" s="18">
        <v>96</v>
      </c>
      <c r="AC46" s="19"/>
      <c r="AD46" s="18">
        <v>98</v>
      </c>
      <c r="AE46" s="19"/>
      <c r="AF46" s="18">
        <v>100</v>
      </c>
      <c r="AG46" s="19"/>
      <c r="AH46" s="18">
        <v>102</v>
      </c>
      <c r="AI46" s="19"/>
      <c r="AJ46" s="18">
        <v>104</v>
      </c>
      <c r="AK46" s="19"/>
      <c r="AL46" s="18">
        <v>106</v>
      </c>
      <c r="AM46" s="19"/>
      <c r="AN46" s="18">
        <v>108</v>
      </c>
      <c r="AO46" s="19"/>
      <c r="AP46" s="18">
        <v>110</v>
      </c>
      <c r="AQ46" s="19"/>
      <c r="AR46" s="17" t="s">
        <v>37</v>
      </c>
      <c r="AS46" s="17"/>
    </row>
    <row r="47" spans="1:45">
      <c r="A47" s="57" t="s">
        <v>57</v>
      </c>
      <c r="B47" s="20">
        <v>72</v>
      </c>
      <c r="C47" s="21">
        <f t="shared" ref="C47:C52" si="114">B47/2.54</f>
        <v>28.346456692913385</v>
      </c>
      <c r="D47" s="20">
        <v>74</v>
      </c>
      <c r="E47" s="21">
        <f t="shared" ref="E47:E52" si="115">D47/2.54</f>
        <v>29.133858267716533</v>
      </c>
      <c r="F47" s="20">
        <v>76</v>
      </c>
      <c r="G47" s="21">
        <f t="shared" ref="G47:G52" si="116">F47/2.54</f>
        <v>29.921259842519685</v>
      </c>
      <c r="H47" s="20">
        <v>78</v>
      </c>
      <c r="I47" s="21">
        <f t="shared" ref="I47:I52" si="117">H47/2.54</f>
        <v>30.708661417322833</v>
      </c>
      <c r="J47" s="20">
        <v>80</v>
      </c>
      <c r="K47" s="21">
        <f t="shared" ref="K47:K52" si="118">J47/2.54</f>
        <v>31.496062992125985</v>
      </c>
      <c r="L47" s="20">
        <v>82</v>
      </c>
      <c r="M47" s="25">
        <f t="shared" ref="M47:M52" si="119">L47/2.54</f>
        <v>32.283464566929133</v>
      </c>
      <c r="N47" s="58">
        <v>84</v>
      </c>
      <c r="O47" s="59">
        <f t="shared" ref="O47:O52" si="120">N47/2.54</f>
        <v>33.070866141732282</v>
      </c>
      <c r="P47" s="24">
        <v>86</v>
      </c>
      <c r="Q47" s="21">
        <f t="shared" ref="Q47:Q52" si="121">P47/2.54</f>
        <v>33.85826771653543</v>
      </c>
      <c r="R47" s="24">
        <v>88</v>
      </c>
      <c r="S47" s="21">
        <f t="shared" ref="S47:S52" si="122">R47/2.54</f>
        <v>34.645669291338585</v>
      </c>
      <c r="T47" s="20">
        <v>90</v>
      </c>
      <c r="U47" s="21">
        <f t="shared" ref="U47:U52" si="123">T47/2.54</f>
        <v>35.433070866141733</v>
      </c>
      <c r="V47" s="20">
        <v>92</v>
      </c>
      <c r="W47" s="21">
        <f t="shared" ref="W47:W52" si="124">V47/2.54</f>
        <v>36.220472440944881</v>
      </c>
      <c r="X47" s="20">
        <v>94</v>
      </c>
      <c r="Y47" s="21">
        <f t="shared" ref="Y47:Y52" si="125">X47/2.54</f>
        <v>37.00787401574803</v>
      </c>
      <c r="Z47" s="20">
        <v>96</v>
      </c>
      <c r="AA47" s="21">
        <f t="shared" ref="AA47:AA52" si="126">Z47/2.54</f>
        <v>37.795275590551178</v>
      </c>
      <c r="AB47" s="20">
        <v>98</v>
      </c>
      <c r="AC47" s="21">
        <f t="shared" ref="AC47:AC52" si="127">AB47/2.54</f>
        <v>38.582677165354333</v>
      </c>
      <c r="AD47" s="20">
        <v>100</v>
      </c>
      <c r="AE47" s="21">
        <f t="shared" ref="AE47:AE52" si="128">AD47/2.54</f>
        <v>39.370078740157481</v>
      </c>
      <c r="AF47" s="20">
        <v>102</v>
      </c>
      <c r="AG47" s="21">
        <f t="shared" ref="AG47:AG52" si="129">AF47/2.54</f>
        <v>40.15748031496063</v>
      </c>
      <c r="AH47" s="20">
        <v>104</v>
      </c>
      <c r="AI47" s="21">
        <f t="shared" ref="AI47:AI52" si="130">AH47/2.54</f>
        <v>40.944881889763778</v>
      </c>
      <c r="AJ47" s="20">
        <v>106</v>
      </c>
      <c r="AK47" s="21">
        <f t="shared" ref="AK47:AK52" si="131">AJ47/2.54</f>
        <v>41.732283464566926</v>
      </c>
      <c r="AL47" s="20">
        <v>108</v>
      </c>
      <c r="AM47" s="21">
        <f t="shared" ref="AM47:AM52" si="132">AL47/2.54</f>
        <v>42.519685039370081</v>
      </c>
      <c r="AN47" s="20">
        <v>110</v>
      </c>
      <c r="AO47" s="21">
        <f t="shared" ref="AO47:AO52" si="133">AN47/2.54</f>
        <v>43.30708661417323</v>
      </c>
      <c r="AP47" s="20">
        <v>112</v>
      </c>
      <c r="AQ47" s="21">
        <f t="shared" ref="AQ47:AQ52" si="134">AP47/2.54</f>
        <v>44.094488188976378</v>
      </c>
      <c r="AR47" s="20">
        <f>AP47-AN47</f>
        <v>2</v>
      </c>
      <c r="AS47" s="26">
        <f t="shared" ref="AS47:AS49" si="135">AR47/2.54</f>
        <v>0.78740157480314954</v>
      </c>
    </row>
    <row r="48" spans="1:45">
      <c r="A48" s="57" t="s">
        <v>58</v>
      </c>
      <c r="B48" s="20">
        <v>93</v>
      </c>
      <c r="C48" s="21">
        <f t="shared" si="114"/>
        <v>36.614173228346459</v>
      </c>
      <c r="D48" s="20">
        <v>95</v>
      </c>
      <c r="E48" s="21">
        <f t="shared" si="115"/>
        <v>37.401574803149607</v>
      </c>
      <c r="F48" s="20">
        <v>97</v>
      </c>
      <c r="G48" s="21">
        <f t="shared" si="116"/>
        <v>38.188976377952756</v>
      </c>
      <c r="H48" s="20">
        <v>99</v>
      </c>
      <c r="I48" s="21">
        <f t="shared" si="117"/>
        <v>38.976377952755904</v>
      </c>
      <c r="J48" s="20">
        <v>101</v>
      </c>
      <c r="K48" s="21">
        <f t="shared" si="118"/>
        <v>39.763779527559052</v>
      </c>
      <c r="L48" s="20">
        <v>103</v>
      </c>
      <c r="M48" s="25">
        <f t="shared" si="119"/>
        <v>40.551181102362207</v>
      </c>
      <c r="N48" s="58">
        <v>105</v>
      </c>
      <c r="O48" s="59">
        <f t="shared" si="120"/>
        <v>41.338582677165356</v>
      </c>
      <c r="P48" s="24">
        <v>107</v>
      </c>
      <c r="Q48" s="21">
        <f t="shared" si="121"/>
        <v>42.125984251968504</v>
      </c>
      <c r="R48" s="24">
        <v>109</v>
      </c>
      <c r="S48" s="21">
        <f t="shared" si="122"/>
        <v>42.913385826771652</v>
      </c>
      <c r="T48" s="20">
        <v>111</v>
      </c>
      <c r="U48" s="21">
        <f t="shared" si="123"/>
        <v>43.7007874015748</v>
      </c>
      <c r="V48" s="20">
        <v>113</v>
      </c>
      <c r="W48" s="21">
        <f t="shared" si="124"/>
        <v>44.488188976377955</v>
      </c>
      <c r="X48" s="20">
        <v>115</v>
      </c>
      <c r="Y48" s="21">
        <f t="shared" si="125"/>
        <v>45.275590551181104</v>
      </c>
      <c r="Z48" s="20">
        <v>117</v>
      </c>
      <c r="AA48" s="21">
        <f t="shared" si="126"/>
        <v>46.062992125984252</v>
      </c>
      <c r="AB48" s="20">
        <v>119</v>
      </c>
      <c r="AC48" s="21">
        <f t="shared" si="127"/>
        <v>46.8503937007874</v>
      </c>
      <c r="AD48" s="20">
        <v>121</v>
      </c>
      <c r="AE48" s="21">
        <f t="shared" si="128"/>
        <v>47.637795275590548</v>
      </c>
      <c r="AF48" s="20">
        <v>123</v>
      </c>
      <c r="AG48" s="21">
        <f t="shared" si="129"/>
        <v>48.425196850393704</v>
      </c>
      <c r="AH48" s="20">
        <v>125</v>
      </c>
      <c r="AI48" s="21">
        <f t="shared" si="130"/>
        <v>49.212598425196852</v>
      </c>
      <c r="AJ48" s="20">
        <v>127</v>
      </c>
      <c r="AK48" s="21">
        <f t="shared" si="131"/>
        <v>50</v>
      </c>
      <c r="AL48" s="20">
        <v>129</v>
      </c>
      <c r="AM48" s="21">
        <f t="shared" si="132"/>
        <v>50.787401574803148</v>
      </c>
      <c r="AN48" s="20">
        <v>131</v>
      </c>
      <c r="AO48" s="21">
        <f t="shared" si="133"/>
        <v>51.574803149606296</v>
      </c>
      <c r="AP48" s="20">
        <v>133</v>
      </c>
      <c r="AQ48" s="21">
        <f t="shared" si="134"/>
        <v>52.362204724409445</v>
      </c>
      <c r="AR48" s="20">
        <f>AP48-AN48</f>
        <v>2</v>
      </c>
      <c r="AS48" s="26">
        <f t="shared" si="135"/>
        <v>0.78740157480314954</v>
      </c>
    </row>
    <row r="49" spans="1:48">
      <c r="A49" s="57" t="s">
        <v>59</v>
      </c>
      <c r="B49" s="20">
        <v>21.25</v>
      </c>
      <c r="C49" s="21">
        <f t="shared" si="114"/>
        <v>8.3661417322834648</v>
      </c>
      <c r="D49" s="20">
        <v>21.5</v>
      </c>
      <c r="E49" s="21">
        <f t="shared" si="115"/>
        <v>8.4645669291338574</v>
      </c>
      <c r="F49" s="20">
        <v>21.75</v>
      </c>
      <c r="G49" s="21">
        <f t="shared" si="116"/>
        <v>8.5629921259842519</v>
      </c>
      <c r="H49" s="20">
        <v>22</v>
      </c>
      <c r="I49" s="21">
        <f t="shared" si="117"/>
        <v>8.6614173228346463</v>
      </c>
      <c r="J49" s="20">
        <v>22.25</v>
      </c>
      <c r="K49" s="21">
        <f t="shared" si="118"/>
        <v>8.7598425196850389</v>
      </c>
      <c r="L49" s="20">
        <v>22.5</v>
      </c>
      <c r="M49" s="25">
        <f t="shared" si="119"/>
        <v>8.8582677165354333</v>
      </c>
      <c r="N49" s="58">
        <v>22.75</v>
      </c>
      <c r="O49" s="59">
        <f t="shared" si="120"/>
        <v>8.956692913385826</v>
      </c>
      <c r="P49" s="24">
        <v>23</v>
      </c>
      <c r="Q49" s="21">
        <f t="shared" si="121"/>
        <v>9.0551181102362204</v>
      </c>
      <c r="R49" s="24">
        <v>23.25</v>
      </c>
      <c r="S49" s="21">
        <f t="shared" si="122"/>
        <v>9.1535433070866148</v>
      </c>
      <c r="T49" s="20">
        <v>23.5</v>
      </c>
      <c r="U49" s="21">
        <f t="shared" si="123"/>
        <v>9.2519685039370074</v>
      </c>
      <c r="V49" s="20">
        <v>23.75</v>
      </c>
      <c r="W49" s="21">
        <f t="shared" si="124"/>
        <v>9.3503937007874018</v>
      </c>
      <c r="X49" s="20">
        <v>24</v>
      </c>
      <c r="Y49" s="21">
        <f t="shared" si="125"/>
        <v>9.4488188976377945</v>
      </c>
      <c r="Z49" s="20">
        <v>24.25</v>
      </c>
      <c r="AA49" s="21">
        <f t="shared" si="126"/>
        <v>9.5472440944881889</v>
      </c>
      <c r="AB49" s="20">
        <v>24.5</v>
      </c>
      <c r="AC49" s="21">
        <f t="shared" si="127"/>
        <v>9.6456692913385833</v>
      </c>
      <c r="AD49" s="20">
        <v>24.75</v>
      </c>
      <c r="AE49" s="21">
        <f t="shared" si="128"/>
        <v>9.7440944881889759</v>
      </c>
      <c r="AF49" s="20">
        <v>25</v>
      </c>
      <c r="AG49" s="21">
        <f t="shared" si="129"/>
        <v>9.8425196850393704</v>
      </c>
      <c r="AH49" s="20">
        <v>25.25</v>
      </c>
      <c r="AI49" s="21">
        <f t="shared" si="130"/>
        <v>9.940944881889763</v>
      </c>
      <c r="AJ49" s="20">
        <v>25.5</v>
      </c>
      <c r="AK49" s="21">
        <f t="shared" si="131"/>
        <v>10.039370078740157</v>
      </c>
      <c r="AL49" s="20">
        <v>25.75</v>
      </c>
      <c r="AM49" s="21">
        <f t="shared" si="132"/>
        <v>10.137795275590552</v>
      </c>
      <c r="AN49" s="20">
        <v>26</v>
      </c>
      <c r="AO49" s="21">
        <f t="shared" si="133"/>
        <v>10.236220472440944</v>
      </c>
      <c r="AP49" s="20">
        <v>26.25</v>
      </c>
      <c r="AQ49" s="21">
        <f t="shared" si="134"/>
        <v>10.334645669291339</v>
      </c>
      <c r="AR49" s="20">
        <f>AP49-AN49</f>
        <v>0.25</v>
      </c>
      <c r="AS49" s="26">
        <f t="shared" si="135"/>
        <v>9.8425196850393692E-2</v>
      </c>
    </row>
    <row r="50" spans="1:48">
      <c r="A50" s="57" t="s">
        <v>60</v>
      </c>
      <c r="B50" s="20">
        <v>38.25</v>
      </c>
      <c r="C50" s="21">
        <f t="shared" si="114"/>
        <v>15.059055118110235</v>
      </c>
      <c r="D50" s="20">
        <v>38.5</v>
      </c>
      <c r="E50" s="21">
        <f t="shared" si="115"/>
        <v>15.15748031496063</v>
      </c>
      <c r="F50" s="20">
        <v>38.75</v>
      </c>
      <c r="G50" s="21">
        <f t="shared" si="116"/>
        <v>15.255905511811024</v>
      </c>
      <c r="H50" s="20">
        <v>39</v>
      </c>
      <c r="I50" s="21">
        <f t="shared" si="117"/>
        <v>15.354330708661417</v>
      </c>
      <c r="J50" s="20">
        <v>39.25</v>
      </c>
      <c r="K50" s="25">
        <f t="shared" si="118"/>
        <v>15.452755905511811</v>
      </c>
      <c r="L50" s="53">
        <v>39.5</v>
      </c>
      <c r="M50" s="27">
        <f t="shared" si="119"/>
        <v>15.551181102362204</v>
      </c>
      <c r="N50" s="60">
        <v>39.75</v>
      </c>
      <c r="O50" s="61">
        <f t="shared" si="120"/>
        <v>15.649606299212598</v>
      </c>
      <c r="P50" s="24">
        <v>40.32</v>
      </c>
      <c r="Q50" s="21">
        <f t="shared" si="121"/>
        <v>15.874015748031496</v>
      </c>
      <c r="R50" s="20">
        <v>40.85</v>
      </c>
      <c r="S50" s="21">
        <f t="shared" si="122"/>
        <v>16.08267716535433</v>
      </c>
      <c r="T50" s="20">
        <v>41.35</v>
      </c>
      <c r="U50" s="21">
        <f t="shared" si="123"/>
        <v>16.279527559055119</v>
      </c>
      <c r="V50" s="20">
        <v>41.85</v>
      </c>
      <c r="W50" s="21">
        <f t="shared" si="124"/>
        <v>16.476377952755907</v>
      </c>
      <c r="X50" s="20">
        <v>42.6</v>
      </c>
      <c r="Y50" s="21">
        <f t="shared" si="125"/>
        <v>16.771653543307085</v>
      </c>
      <c r="Z50" s="20">
        <v>43.3</v>
      </c>
      <c r="AA50" s="21">
        <f t="shared" si="126"/>
        <v>17.047244094488189</v>
      </c>
      <c r="AB50" s="20">
        <v>44</v>
      </c>
      <c r="AC50" s="21">
        <f t="shared" si="127"/>
        <v>17.322834645669293</v>
      </c>
      <c r="AD50" s="20">
        <v>44.7</v>
      </c>
      <c r="AE50" s="21">
        <f t="shared" si="128"/>
        <v>17.598425196850396</v>
      </c>
      <c r="AF50" s="20">
        <v>45.4</v>
      </c>
      <c r="AG50" s="21">
        <f t="shared" si="129"/>
        <v>17.874015748031496</v>
      </c>
      <c r="AH50" s="20">
        <v>46.2</v>
      </c>
      <c r="AI50" s="21">
        <f t="shared" si="130"/>
        <v>18.188976377952756</v>
      </c>
      <c r="AJ50" s="20">
        <v>46.92</v>
      </c>
      <c r="AK50" s="21">
        <f t="shared" si="131"/>
        <v>18.472440944881889</v>
      </c>
      <c r="AL50" s="20">
        <v>47.63</v>
      </c>
      <c r="AM50" s="21">
        <f t="shared" si="132"/>
        <v>18.751968503937007</v>
      </c>
      <c r="AN50" s="20">
        <v>48.34</v>
      </c>
      <c r="AO50" s="21">
        <f t="shared" si="133"/>
        <v>19.031496062992126</v>
      </c>
      <c r="AP50" s="20">
        <v>49</v>
      </c>
      <c r="AQ50" s="21">
        <f t="shared" si="134"/>
        <v>19.291338582677167</v>
      </c>
      <c r="AR50" s="20"/>
      <c r="AS50" s="26"/>
    </row>
    <row r="51" spans="1:48">
      <c r="A51" s="57" t="s">
        <v>61</v>
      </c>
      <c r="B51" s="20">
        <v>19.7</v>
      </c>
      <c r="C51" s="21">
        <f t="shared" si="114"/>
        <v>7.7559055118110232</v>
      </c>
      <c r="D51" s="20">
        <v>20</v>
      </c>
      <c r="E51" s="21">
        <f t="shared" si="115"/>
        <v>7.8740157480314963</v>
      </c>
      <c r="F51" s="20">
        <v>20.3</v>
      </c>
      <c r="G51" s="21">
        <f t="shared" si="116"/>
        <v>7.9921259842519685</v>
      </c>
      <c r="H51" s="20">
        <v>20.6</v>
      </c>
      <c r="I51" s="21">
        <f t="shared" si="117"/>
        <v>8.1102362204724407</v>
      </c>
      <c r="J51" s="20">
        <v>20.9</v>
      </c>
      <c r="K51" s="21">
        <f t="shared" si="118"/>
        <v>8.228346456692913</v>
      </c>
      <c r="L51" s="20">
        <v>21.2</v>
      </c>
      <c r="M51" s="25">
        <f t="shared" si="119"/>
        <v>8.3464566929133852</v>
      </c>
      <c r="N51" s="58">
        <v>21.5</v>
      </c>
      <c r="O51" s="59">
        <f t="shared" si="120"/>
        <v>8.4645669291338574</v>
      </c>
      <c r="P51" s="24">
        <v>21.8</v>
      </c>
      <c r="Q51" s="21">
        <f t="shared" si="121"/>
        <v>8.5826771653543314</v>
      </c>
      <c r="R51" s="24">
        <v>22.1</v>
      </c>
      <c r="S51" s="21">
        <f t="shared" si="122"/>
        <v>8.7007874015748037</v>
      </c>
      <c r="T51" s="20">
        <v>22.4</v>
      </c>
      <c r="U51" s="21">
        <f t="shared" si="123"/>
        <v>8.8188976377952741</v>
      </c>
      <c r="V51" s="20">
        <v>22.7</v>
      </c>
      <c r="W51" s="21">
        <f t="shared" si="124"/>
        <v>8.9370078740157481</v>
      </c>
      <c r="X51" s="20">
        <v>23</v>
      </c>
      <c r="Y51" s="21">
        <f t="shared" si="125"/>
        <v>9.0551181102362204</v>
      </c>
      <c r="Z51" s="20">
        <v>23.3</v>
      </c>
      <c r="AA51" s="21">
        <f t="shared" si="126"/>
        <v>9.1732283464566926</v>
      </c>
      <c r="AB51" s="20">
        <v>23.6</v>
      </c>
      <c r="AC51" s="21">
        <f t="shared" si="127"/>
        <v>9.2913385826771666</v>
      </c>
      <c r="AD51" s="20">
        <v>23.9</v>
      </c>
      <c r="AE51" s="21">
        <f t="shared" si="128"/>
        <v>9.4094488188976371</v>
      </c>
      <c r="AF51" s="20">
        <v>24.2</v>
      </c>
      <c r="AG51" s="21">
        <f t="shared" si="129"/>
        <v>9.5275590551181093</v>
      </c>
      <c r="AH51" s="20">
        <v>24.5</v>
      </c>
      <c r="AI51" s="21">
        <f t="shared" si="130"/>
        <v>9.6456692913385833</v>
      </c>
      <c r="AJ51" s="20">
        <v>24.8</v>
      </c>
      <c r="AK51" s="21">
        <f t="shared" si="131"/>
        <v>9.7637795275590555</v>
      </c>
      <c r="AL51" s="20">
        <v>25.1</v>
      </c>
      <c r="AM51" s="21">
        <f t="shared" si="132"/>
        <v>9.8818897637795278</v>
      </c>
      <c r="AN51" s="20">
        <v>25.4</v>
      </c>
      <c r="AO51" s="21">
        <f t="shared" si="133"/>
        <v>10</v>
      </c>
      <c r="AP51" s="20">
        <v>25.7</v>
      </c>
      <c r="AQ51" s="21">
        <f t="shared" si="134"/>
        <v>10.118110236220472</v>
      </c>
      <c r="AR51" s="20">
        <f>AP51-AN51</f>
        <v>0.30000000000000071</v>
      </c>
      <c r="AS51" s="26">
        <f t="shared" ref="AS51:AS52" si="136">AR51/2.54</f>
        <v>0.11811023622047272</v>
      </c>
    </row>
    <row r="52" spans="1:48">
      <c r="A52" s="57" t="s">
        <v>62</v>
      </c>
      <c r="B52" s="20">
        <v>18.3</v>
      </c>
      <c r="C52" s="21">
        <f t="shared" si="114"/>
        <v>7.2047244094488194</v>
      </c>
      <c r="D52" s="20">
        <v>18.5</v>
      </c>
      <c r="E52" s="21">
        <f t="shared" si="115"/>
        <v>7.2834645669291334</v>
      </c>
      <c r="F52" s="20">
        <v>18.7</v>
      </c>
      <c r="G52" s="21">
        <f t="shared" si="116"/>
        <v>7.3622047244094482</v>
      </c>
      <c r="H52" s="20">
        <v>18.899999999999999</v>
      </c>
      <c r="I52" s="21">
        <f t="shared" si="117"/>
        <v>7.440944881889763</v>
      </c>
      <c r="J52" s="20">
        <v>19.100000000000001</v>
      </c>
      <c r="K52" s="21">
        <f t="shared" si="118"/>
        <v>7.5196850393700796</v>
      </c>
      <c r="L52" s="20">
        <v>19.3</v>
      </c>
      <c r="M52" s="25">
        <f t="shared" si="119"/>
        <v>7.5984251968503935</v>
      </c>
      <c r="N52" s="58">
        <v>19.5</v>
      </c>
      <c r="O52" s="59">
        <f t="shared" si="120"/>
        <v>7.6771653543307083</v>
      </c>
      <c r="P52" s="24">
        <v>19.7</v>
      </c>
      <c r="Q52" s="21">
        <f t="shared" si="121"/>
        <v>7.7559055118110232</v>
      </c>
      <c r="R52" s="24">
        <v>19.899999999999999</v>
      </c>
      <c r="S52" s="21">
        <f t="shared" si="122"/>
        <v>7.834645669291338</v>
      </c>
      <c r="T52" s="20">
        <v>20.100000000000001</v>
      </c>
      <c r="U52" s="21">
        <f t="shared" si="123"/>
        <v>7.9133858267716537</v>
      </c>
      <c r="V52" s="20">
        <v>20.3</v>
      </c>
      <c r="W52" s="21">
        <f t="shared" si="124"/>
        <v>7.9921259842519685</v>
      </c>
      <c r="X52" s="20">
        <v>20.5</v>
      </c>
      <c r="Y52" s="21">
        <f t="shared" si="125"/>
        <v>8.0708661417322833</v>
      </c>
      <c r="Z52" s="20">
        <v>20.7</v>
      </c>
      <c r="AA52" s="21">
        <f t="shared" si="126"/>
        <v>8.1496062992125982</v>
      </c>
      <c r="AB52" s="20">
        <v>20.9</v>
      </c>
      <c r="AC52" s="21">
        <f t="shared" si="127"/>
        <v>8.228346456692913</v>
      </c>
      <c r="AD52" s="20">
        <v>21.1</v>
      </c>
      <c r="AE52" s="21">
        <f t="shared" si="128"/>
        <v>8.3070866141732296</v>
      </c>
      <c r="AF52" s="20">
        <v>21.3</v>
      </c>
      <c r="AG52" s="21">
        <f t="shared" si="129"/>
        <v>8.3858267716535426</v>
      </c>
      <c r="AH52" s="20">
        <v>21.5</v>
      </c>
      <c r="AI52" s="21">
        <f t="shared" si="130"/>
        <v>8.4645669291338574</v>
      </c>
      <c r="AJ52" s="20">
        <v>21.7</v>
      </c>
      <c r="AK52" s="21">
        <f t="shared" si="131"/>
        <v>8.5433070866141723</v>
      </c>
      <c r="AL52" s="20">
        <v>21.9</v>
      </c>
      <c r="AM52" s="21">
        <f t="shared" si="132"/>
        <v>8.6220472440944871</v>
      </c>
      <c r="AN52" s="20">
        <v>22.1</v>
      </c>
      <c r="AO52" s="21">
        <f t="shared" si="133"/>
        <v>8.7007874015748037</v>
      </c>
      <c r="AP52" s="20">
        <v>22.3</v>
      </c>
      <c r="AQ52" s="21">
        <f t="shared" si="134"/>
        <v>8.7795275590551185</v>
      </c>
      <c r="AR52" s="20">
        <f>AP52-AN52</f>
        <v>0.19999999999999929</v>
      </c>
      <c r="AS52" s="26">
        <f t="shared" si="136"/>
        <v>7.8740157480314682E-2</v>
      </c>
    </row>
    <row r="53" spans="1:48" ht="18" thickBot="1">
      <c r="A53" s="57" t="s">
        <v>63</v>
      </c>
      <c r="B53" s="20">
        <v>104.4</v>
      </c>
      <c r="C53" s="21">
        <f t="shared" ref="C53:C54" si="137">B53/2.54</f>
        <v>41.102362204724415</v>
      </c>
      <c r="D53" s="20">
        <v>105.2</v>
      </c>
      <c r="E53" s="21">
        <f t="shared" ref="E53:E54" si="138">D53/2.54</f>
        <v>41.417322834645667</v>
      </c>
      <c r="F53" s="20">
        <v>105.4</v>
      </c>
      <c r="G53" s="21">
        <f t="shared" ref="G53:G54" si="139">F53/2.54</f>
        <v>41.496062992125985</v>
      </c>
      <c r="H53" s="20">
        <v>105.7</v>
      </c>
      <c r="I53" s="21">
        <f t="shared" ref="I53:I54" si="140">H53/2.54</f>
        <v>41.614173228346459</v>
      </c>
      <c r="J53" s="20">
        <v>106</v>
      </c>
      <c r="K53" s="21">
        <f t="shared" ref="K53:K54" si="141">J53/2.54</f>
        <v>41.732283464566926</v>
      </c>
      <c r="L53" s="20">
        <v>106.2</v>
      </c>
      <c r="M53" s="25">
        <f t="shared" ref="M53:M54" si="142">L53/2.54</f>
        <v>41.811023622047244</v>
      </c>
      <c r="N53" s="62">
        <v>106.5</v>
      </c>
      <c r="O53" s="63">
        <f t="shared" ref="O53:O54" si="143">N53/2.54</f>
        <v>41.929133858267718</v>
      </c>
      <c r="P53" s="24">
        <v>106.7</v>
      </c>
      <c r="Q53" s="21">
        <f t="shared" ref="Q53:Q54" si="144">P53/2.54</f>
        <v>42.00787401574803</v>
      </c>
      <c r="R53" s="20">
        <v>107</v>
      </c>
      <c r="S53" s="21">
        <f t="shared" ref="S53:S54" si="145">R53/2.54</f>
        <v>42.125984251968504</v>
      </c>
      <c r="T53" s="20">
        <v>107.3</v>
      </c>
      <c r="U53" s="21">
        <f t="shared" ref="U53:U54" si="146">T53/2.54</f>
        <v>42.244094488188978</v>
      </c>
      <c r="V53" s="20">
        <v>107.5</v>
      </c>
      <c r="W53" s="21">
        <f t="shared" ref="W53:W54" si="147">V53/2.54</f>
        <v>42.322834645669289</v>
      </c>
      <c r="X53" s="20">
        <v>107.8</v>
      </c>
      <c r="Y53" s="21">
        <f t="shared" ref="Y53:Y54" si="148">X53/2.54</f>
        <v>42.440944881889763</v>
      </c>
      <c r="Z53" s="20">
        <v>108</v>
      </c>
      <c r="AA53" s="21">
        <f t="shared" ref="AA53:AA54" si="149">Z53/2.54</f>
        <v>42.519685039370081</v>
      </c>
      <c r="AB53" s="20">
        <v>108.3</v>
      </c>
      <c r="AC53" s="21">
        <f t="shared" ref="AC53:AC54" si="150">AB53/2.54</f>
        <v>42.637795275590548</v>
      </c>
      <c r="AD53" s="20">
        <v>108.6</v>
      </c>
      <c r="AE53" s="21">
        <f t="shared" ref="AE53:AE54" si="151">AD53/2.54</f>
        <v>42.755905511811022</v>
      </c>
      <c r="AF53" s="20">
        <v>108.8</v>
      </c>
      <c r="AG53" s="21">
        <f t="shared" ref="AG53:AG54" si="152">AF53/2.54</f>
        <v>42.834645669291334</v>
      </c>
      <c r="AH53" s="20">
        <v>109.1</v>
      </c>
      <c r="AI53" s="21">
        <f t="shared" ref="AI53:AI54" si="153">AH53/2.54</f>
        <v>42.952755905511808</v>
      </c>
      <c r="AJ53" s="20">
        <v>109.4</v>
      </c>
      <c r="AK53" s="21">
        <f t="shared" ref="AK53:AK54" si="154">AJ53/2.54</f>
        <v>43.070866141732282</v>
      </c>
      <c r="AL53" s="20">
        <v>109.6</v>
      </c>
      <c r="AM53" s="21">
        <f t="shared" ref="AM53:AM54" si="155">AL53/2.54</f>
        <v>43.149606299212593</v>
      </c>
      <c r="AN53" s="20">
        <v>109.9</v>
      </c>
      <c r="AO53" s="21">
        <f t="shared" ref="AO53:AO54" si="156">AN53/2.54</f>
        <v>43.267716535433074</v>
      </c>
      <c r="AP53" s="20">
        <v>110.1</v>
      </c>
      <c r="AQ53" s="21">
        <f t="shared" ref="AQ53:AQ54" si="157">AP53/2.54</f>
        <v>43.346456692913385</v>
      </c>
      <c r="AR53" s="20"/>
      <c r="AS53" s="26" t="s">
        <v>46</v>
      </c>
    </row>
    <row r="54" spans="1:48" ht="18" thickBot="1">
      <c r="A54" s="57" t="s">
        <v>64</v>
      </c>
      <c r="B54" s="20">
        <v>56.5</v>
      </c>
      <c r="C54" s="21">
        <f t="shared" si="137"/>
        <v>22.244094488188978</v>
      </c>
      <c r="D54" s="20">
        <v>57.4</v>
      </c>
      <c r="E54" s="21">
        <f t="shared" si="138"/>
        <v>22.598425196850393</v>
      </c>
      <c r="F54" s="20">
        <v>58.4</v>
      </c>
      <c r="G54" s="21">
        <f t="shared" si="139"/>
        <v>22.992125984251967</v>
      </c>
      <c r="H54" s="20">
        <v>59.3</v>
      </c>
      <c r="I54" s="21">
        <f t="shared" si="140"/>
        <v>23.346456692913385</v>
      </c>
      <c r="J54" s="20">
        <v>62.2</v>
      </c>
      <c r="K54" s="21">
        <f t="shared" si="141"/>
        <v>24.488188976377952</v>
      </c>
      <c r="L54" s="20">
        <v>61.4</v>
      </c>
      <c r="M54" s="25">
        <f t="shared" si="142"/>
        <v>24.173228346456693</v>
      </c>
      <c r="N54" s="62">
        <v>62.1</v>
      </c>
      <c r="O54" s="63">
        <f t="shared" si="143"/>
        <v>24.448818897637796</v>
      </c>
      <c r="P54" s="24">
        <v>63.2</v>
      </c>
      <c r="Q54" s="21">
        <f t="shared" si="144"/>
        <v>24.88188976377953</v>
      </c>
      <c r="R54" s="20">
        <v>64.3</v>
      </c>
      <c r="S54" s="21">
        <f t="shared" si="145"/>
        <v>25.314960629921259</v>
      </c>
      <c r="T54" s="20">
        <v>65.5</v>
      </c>
      <c r="U54" s="21">
        <f t="shared" si="146"/>
        <v>25.787401574803148</v>
      </c>
      <c r="V54" s="20">
        <v>66.599999999999994</v>
      </c>
      <c r="W54" s="21">
        <f t="shared" si="147"/>
        <v>26.220472440944878</v>
      </c>
      <c r="X54" s="20">
        <v>67.900000000000006</v>
      </c>
      <c r="Y54" s="21">
        <f t="shared" si="148"/>
        <v>26.73228346456693</v>
      </c>
      <c r="Z54" s="20">
        <v>69.2</v>
      </c>
      <c r="AA54" s="21">
        <f t="shared" si="149"/>
        <v>27.244094488188978</v>
      </c>
      <c r="AB54" s="20">
        <v>70.5</v>
      </c>
      <c r="AC54" s="21">
        <f t="shared" si="150"/>
        <v>27.755905511811022</v>
      </c>
      <c r="AD54" s="20">
        <v>71.7</v>
      </c>
      <c r="AE54" s="21">
        <f t="shared" si="151"/>
        <v>28.228346456692915</v>
      </c>
      <c r="AF54" s="20">
        <v>73</v>
      </c>
      <c r="AG54" s="21">
        <f t="shared" si="152"/>
        <v>28.740157480314959</v>
      </c>
      <c r="AH54" s="20">
        <v>74.3</v>
      </c>
      <c r="AI54" s="21">
        <f t="shared" si="153"/>
        <v>29.251968503937007</v>
      </c>
      <c r="AJ54" s="20">
        <v>75.5</v>
      </c>
      <c r="AK54" s="21">
        <f t="shared" si="154"/>
        <v>29.724409448818896</v>
      </c>
      <c r="AL54" s="20">
        <v>76.8</v>
      </c>
      <c r="AM54" s="21">
        <f t="shared" si="155"/>
        <v>30.236220472440944</v>
      </c>
      <c r="AN54" s="20">
        <v>78.099999999999994</v>
      </c>
      <c r="AO54" s="21">
        <f t="shared" si="156"/>
        <v>30.748031496062989</v>
      </c>
      <c r="AP54" s="20">
        <v>79.3</v>
      </c>
      <c r="AQ54" s="21">
        <f t="shared" si="157"/>
        <v>31.220472440944881</v>
      </c>
      <c r="AR54" s="20"/>
      <c r="AS54" s="26" t="s">
        <v>46</v>
      </c>
    </row>
    <row r="55" spans="1:48" ht="18" thickBot="1">
      <c r="A55" s="57"/>
      <c r="B55" s="20"/>
      <c r="C55" s="21"/>
      <c r="D55" s="20"/>
      <c r="E55" s="21"/>
      <c r="F55" s="20"/>
      <c r="G55" s="21"/>
      <c r="H55" s="20"/>
      <c r="I55" s="21"/>
      <c r="J55" s="20"/>
      <c r="K55" s="21"/>
      <c r="L55" s="20"/>
      <c r="M55" s="25"/>
      <c r="N55" s="62"/>
      <c r="O55" s="63"/>
      <c r="P55" s="24"/>
      <c r="Q55" s="21"/>
      <c r="R55" s="20"/>
      <c r="S55" s="21"/>
      <c r="T55" s="20"/>
      <c r="U55" s="21"/>
      <c r="V55" s="20"/>
      <c r="W55" s="21"/>
      <c r="X55" s="20"/>
      <c r="Y55" s="21"/>
      <c r="Z55" s="20"/>
      <c r="AA55" s="21"/>
      <c r="AB55" s="20"/>
      <c r="AC55" s="21"/>
      <c r="AD55" s="20"/>
      <c r="AE55" s="21"/>
      <c r="AF55" s="20"/>
      <c r="AG55" s="21"/>
      <c r="AH55" s="20"/>
      <c r="AI55" s="21"/>
      <c r="AJ55" s="20"/>
      <c r="AK55" s="21"/>
      <c r="AL55" s="20"/>
      <c r="AM55" s="21"/>
      <c r="AN55" s="20"/>
      <c r="AO55" s="21"/>
      <c r="AP55" s="20"/>
      <c r="AQ55" s="21"/>
      <c r="AR55" s="20"/>
      <c r="AS55" s="26"/>
    </row>
    <row r="59" spans="1:48" ht="30">
      <c r="A59" s="48" t="s">
        <v>69</v>
      </c>
      <c r="B59" s="50">
        <v>70</v>
      </c>
      <c r="C59" s="50">
        <v>72</v>
      </c>
      <c r="D59" s="50">
        <v>74</v>
      </c>
      <c r="E59" s="50">
        <v>76</v>
      </c>
      <c r="F59" s="50">
        <v>78</v>
      </c>
      <c r="G59" s="50">
        <v>80</v>
      </c>
      <c r="H59" s="55">
        <v>82</v>
      </c>
      <c r="I59" s="50">
        <v>84</v>
      </c>
      <c r="J59" s="50">
        <v>86</v>
      </c>
      <c r="K59" s="50">
        <v>88</v>
      </c>
      <c r="L59" s="50">
        <v>90</v>
      </c>
      <c r="M59" s="50">
        <v>92</v>
      </c>
      <c r="N59" s="50">
        <v>94</v>
      </c>
      <c r="O59" s="50">
        <v>96</v>
      </c>
      <c r="P59" s="50">
        <v>100</v>
      </c>
      <c r="Q59" s="51">
        <v>102</v>
      </c>
      <c r="R59" s="50">
        <v>104</v>
      </c>
      <c r="S59" s="51">
        <v>106</v>
      </c>
      <c r="T59" s="50">
        <v>108</v>
      </c>
      <c r="U59" s="51">
        <v>110</v>
      </c>
      <c r="V59" s="50">
        <v>112</v>
      </c>
      <c r="W59" s="51">
        <v>114</v>
      </c>
      <c r="X59" s="50">
        <v>116</v>
      </c>
      <c r="Y59" s="51"/>
      <c r="Z59" s="50"/>
      <c r="AA59" s="51"/>
      <c r="AB59" s="50"/>
      <c r="AC59" s="51"/>
      <c r="AD59" s="50"/>
      <c r="AE59" s="51"/>
      <c r="AF59" s="50"/>
      <c r="AG59" s="51"/>
      <c r="AH59" s="50"/>
      <c r="AI59" s="51"/>
      <c r="AJ59" s="50"/>
      <c r="AK59" s="51"/>
      <c r="AL59" s="50"/>
      <c r="AM59" s="51"/>
      <c r="AN59" s="50"/>
      <c r="AO59" s="51"/>
      <c r="AP59" s="50"/>
      <c r="AQ59" s="51"/>
      <c r="AR59" s="50"/>
      <c r="AS59" s="51"/>
      <c r="AT59" s="50"/>
      <c r="AU59" s="51"/>
      <c r="AV59" s="50"/>
    </row>
    <row r="60" spans="1:48" ht="30">
      <c r="A60" s="33" t="s">
        <v>70</v>
      </c>
      <c r="B60" s="50">
        <v>70</v>
      </c>
      <c r="C60" s="50">
        <v>72</v>
      </c>
      <c r="D60" s="50">
        <v>74</v>
      </c>
      <c r="E60" s="50">
        <v>76</v>
      </c>
      <c r="F60" s="50">
        <v>78</v>
      </c>
      <c r="G60" s="50">
        <v>80</v>
      </c>
      <c r="H60" s="55">
        <v>82</v>
      </c>
      <c r="I60" s="50">
        <v>84</v>
      </c>
      <c r="J60" s="50">
        <v>86</v>
      </c>
      <c r="K60" s="50">
        <v>88</v>
      </c>
      <c r="L60" s="50">
        <v>90</v>
      </c>
      <c r="M60" s="50">
        <v>92</v>
      </c>
      <c r="N60" s="50">
        <v>94</v>
      </c>
      <c r="O60" s="50">
        <v>96</v>
      </c>
      <c r="P60" s="50">
        <v>100</v>
      </c>
      <c r="Q60" s="51">
        <v>102</v>
      </c>
      <c r="R60" s="50">
        <v>104</v>
      </c>
      <c r="S60" s="51">
        <v>106</v>
      </c>
      <c r="T60" s="50">
        <v>108</v>
      </c>
      <c r="U60" s="51">
        <v>110</v>
      </c>
      <c r="V60" s="50">
        <v>112</v>
      </c>
      <c r="W60" s="51">
        <v>114</v>
      </c>
      <c r="X60" s="50">
        <v>116</v>
      </c>
      <c r="Y60" s="73">
        <v>118</v>
      </c>
      <c r="Z60" s="73">
        <v>120</v>
      </c>
    </row>
    <row r="61" spans="1:48" ht="30">
      <c r="A61" s="71" t="s">
        <v>71</v>
      </c>
      <c r="B61" s="50">
        <v>76</v>
      </c>
      <c r="C61" s="50">
        <v>78</v>
      </c>
      <c r="D61" s="50">
        <v>80</v>
      </c>
      <c r="E61" s="55">
        <v>82</v>
      </c>
      <c r="F61" s="50">
        <v>84</v>
      </c>
      <c r="G61" s="50">
        <v>86</v>
      </c>
      <c r="H61" s="50">
        <v>88</v>
      </c>
      <c r="I61" s="50">
        <v>90</v>
      </c>
      <c r="J61" s="50">
        <v>92</v>
      </c>
      <c r="K61" s="50">
        <v>94</v>
      </c>
      <c r="L61" s="50">
        <v>96</v>
      </c>
      <c r="M61" s="50">
        <v>100</v>
      </c>
      <c r="N61" s="51">
        <v>102</v>
      </c>
      <c r="O61" s="50">
        <v>104</v>
      </c>
      <c r="P61" s="51">
        <v>106</v>
      </c>
      <c r="Q61" s="50">
        <v>108</v>
      </c>
      <c r="R61" s="51">
        <v>110</v>
      </c>
      <c r="S61" s="51"/>
      <c r="T61" s="50"/>
      <c r="U61" s="51"/>
    </row>
    <row r="62" spans="1:48" ht="30">
      <c r="A62" s="14" t="s">
        <v>72</v>
      </c>
      <c r="B62" s="50">
        <v>70</v>
      </c>
      <c r="C62" s="50">
        <v>72</v>
      </c>
      <c r="D62" s="50">
        <v>74</v>
      </c>
      <c r="E62" s="50">
        <v>76</v>
      </c>
      <c r="F62" s="50">
        <v>78</v>
      </c>
      <c r="G62" s="50">
        <v>80</v>
      </c>
      <c r="H62" s="55">
        <v>82</v>
      </c>
      <c r="I62" s="50">
        <v>84</v>
      </c>
      <c r="J62" s="50">
        <v>86</v>
      </c>
      <c r="K62" s="50">
        <v>88</v>
      </c>
      <c r="L62" s="50">
        <v>90</v>
      </c>
      <c r="M62" s="50">
        <v>92</v>
      </c>
      <c r="N62" s="50">
        <v>94</v>
      </c>
      <c r="O62" s="50">
        <v>96</v>
      </c>
      <c r="P62" s="50">
        <v>100</v>
      </c>
      <c r="Q62" s="51">
        <v>102</v>
      </c>
      <c r="R62" s="50">
        <v>104</v>
      </c>
      <c r="S62" s="51">
        <v>106</v>
      </c>
      <c r="T62" s="50">
        <v>108</v>
      </c>
      <c r="U62" s="51">
        <v>110</v>
      </c>
    </row>
    <row r="63" spans="1:48" ht="30">
      <c r="A63" s="14" t="s">
        <v>73</v>
      </c>
      <c r="B63" s="50">
        <v>70</v>
      </c>
      <c r="C63" s="50">
        <v>72</v>
      </c>
      <c r="D63" s="50">
        <v>74</v>
      </c>
      <c r="E63" s="50">
        <v>76</v>
      </c>
      <c r="F63" s="50">
        <v>78</v>
      </c>
      <c r="G63" s="50">
        <v>80</v>
      </c>
      <c r="H63" s="55">
        <v>82</v>
      </c>
      <c r="I63" s="50">
        <v>84</v>
      </c>
      <c r="J63" s="50">
        <v>86</v>
      </c>
      <c r="K63" s="50">
        <v>88</v>
      </c>
      <c r="L63" s="50">
        <v>90</v>
      </c>
      <c r="M63" s="50">
        <v>92</v>
      </c>
      <c r="N63" s="50">
        <v>94</v>
      </c>
      <c r="O63" s="50">
        <v>96</v>
      </c>
      <c r="P63" s="50">
        <v>100</v>
      </c>
      <c r="Q63" s="51">
        <v>102</v>
      </c>
      <c r="R63" s="50">
        <v>104</v>
      </c>
      <c r="S63" s="51">
        <v>106</v>
      </c>
      <c r="T63" s="50">
        <v>108</v>
      </c>
      <c r="U63" s="51">
        <v>110</v>
      </c>
    </row>
    <row r="70" spans="1:29" ht="30">
      <c r="A70" s="48" t="s">
        <v>69</v>
      </c>
      <c r="B70" s="49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1:29">
      <c r="A71" s="17" t="s">
        <v>35</v>
      </c>
      <c r="B71" s="50">
        <v>70</v>
      </c>
      <c r="C71" s="50">
        <v>72</v>
      </c>
      <c r="D71" s="50">
        <v>74</v>
      </c>
      <c r="E71" s="50">
        <v>76</v>
      </c>
      <c r="F71" s="50">
        <v>78</v>
      </c>
      <c r="G71" s="50">
        <v>80</v>
      </c>
      <c r="H71" s="55">
        <v>82</v>
      </c>
      <c r="I71" s="50">
        <v>84</v>
      </c>
      <c r="J71" s="50">
        <v>86</v>
      </c>
      <c r="K71" s="50">
        <v>88</v>
      </c>
      <c r="L71" s="50">
        <v>90</v>
      </c>
      <c r="M71" s="50">
        <v>92</v>
      </c>
      <c r="N71" s="50">
        <v>94</v>
      </c>
      <c r="O71" s="50">
        <v>96</v>
      </c>
      <c r="P71" s="50">
        <v>98</v>
      </c>
      <c r="Q71" s="50">
        <v>100</v>
      </c>
      <c r="R71" s="50">
        <v>102</v>
      </c>
      <c r="S71" s="50">
        <v>104</v>
      </c>
      <c r="T71" s="50">
        <v>106</v>
      </c>
      <c r="U71" s="50">
        <v>108</v>
      </c>
      <c r="V71" s="50">
        <v>110</v>
      </c>
      <c r="W71" s="50">
        <v>112</v>
      </c>
      <c r="X71" s="50">
        <v>114</v>
      </c>
      <c r="Y71" s="50">
        <v>116</v>
      </c>
      <c r="Z71" s="17"/>
    </row>
    <row r="72" spans="1:29">
      <c r="A72" s="57" t="s">
        <v>57</v>
      </c>
      <c r="B72" s="20">
        <v>72</v>
      </c>
      <c r="C72" s="20">
        <v>74</v>
      </c>
      <c r="D72" s="20">
        <v>76</v>
      </c>
      <c r="E72" s="20">
        <v>78</v>
      </c>
      <c r="F72" s="20">
        <v>80</v>
      </c>
      <c r="G72" s="20">
        <v>82</v>
      </c>
      <c r="H72" s="58">
        <v>84</v>
      </c>
      <c r="I72" s="24">
        <v>86</v>
      </c>
      <c r="J72" s="24">
        <v>88</v>
      </c>
      <c r="K72" s="20">
        <v>90</v>
      </c>
      <c r="L72" s="20">
        <v>92</v>
      </c>
      <c r="M72" s="20">
        <v>94</v>
      </c>
      <c r="N72" s="20">
        <v>96</v>
      </c>
      <c r="O72" s="20">
        <v>98</v>
      </c>
      <c r="P72" s="20">
        <v>100</v>
      </c>
      <c r="Q72" s="20">
        <v>102</v>
      </c>
      <c r="R72" s="20">
        <v>104</v>
      </c>
      <c r="S72" s="20">
        <v>106</v>
      </c>
      <c r="T72" s="20">
        <v>108</v>
      </c>
      <c r="U72" s="20">
        <v>110</v>
      </c>
      <c r="V72" s="20">
        <v>112</v>
      </c>
      <c r="W72" s="20">
        <v>114</v>
      </c>
      <c r="X72" s="20">
        <v>116</v>
      </c>
      <c r="Y72" s="20">
        <v>118</v>
      </c>
      <c r="Z72" s="20"/>
    </row>
    <row r="73" spans="1:29">
      <c r="A73" s="57" t="s">
        <v>58</v>
      </c>
      <c r="B73" s="20">
        <v>89</v>
      </c>
      <c r="C73" s="20">
        <v>91</v>
      </c>
      <c r="D73" s="20">
        <v>93</v>
      </c>
      <c r="E73" s="20">
        <v>95</v>
      </c>
      <c r="F73" s="20">
        <v>97</v>
      </c>
      <c r="G73" s="20">
        <v>99</v>
      </c>
      <c r="H73" s="58">
        <v>101</v>
      </c>
      <c r="I73" s="24">
        <v>103</v>
      </c>
      <c r="J73" s="24">
        <v>105</v>
      </c>
      <c r="K73" s="20">
        <v>107</v>
      </c>
      <c r="L73" s="20">
        <v>109</v>
      </c>
      <c r="M73" s="20">
        <v>111</v>
      </c>
      <c r="N73" s="20">
        <v>113</v>
      </c>
      <c r="O73" s="20">
        <v>115</v>
      </c>
      <c r="P73" s="20">
        <v>117</v>
      </c>
      <c r="Q73" s="20">
        <v>119</v>
      </c>
      <c r="R73" s="20">
        <v>121</v>
      </c>
      <c r="S73" s="20">
        <v>123</v>
      </c>
      <c r="T73" s="20">
        <v>125</v>
      </c>
      <c r="U73" s="20">
        <v>127</v>
      </c>
      <c r="V73" s="20">
        <v>129</v>
      </c>
      <c r="W73" s="20">
        <v>131</v>
      </c>
      <c r="X73" s="20">
        <v>133</v>
      </c>
      <c r="Y73" s="20">
        <v>135</v>
      </c>
      <c r="Z73" s="20"/>
    </row>
    <row r="74" spans="1:29" ht="18" thickBot="1">
      <c r="A74" s="57" t="s">
        <v>64</v>
      </c>
      <c r="B74" s="20">
        <v>56.17</v>
      </c>
      <c r="C74" s="20">
        <v>57.08</v>
      </c>
      <c r="D74" s="20">
        <v>57.99</v>
      </c>
      <c r="E74" s="20">
        <v>58.9</v>
      </c>
      <c r="F74" s="20">
        <v>59.81</v>
      </c>
      <c r="G74" s="20">
        <v>60.71</v>
      </c>
      <c r="H74" s="62">
        <v>61.6</v>
      </c>
      <c r="I74" s="24">
        <v>62.7</v>
      </c>
      <c r="J74" s="20">
        <v>63.8</v>
      </c>
      <c r="K74" s="20">
        <v>64.900000000000006</v>
      </c>
      <c r="L74" s="20">
        <v>66</v>
      </c>
      <c r="M74" s="20">
        <v>67.239999999999995</v>
      </c>
      <c r="N74" s="20">
        <v>68.489999999999995</v>
      </c>
      <c r="O74" s="20">
        <v>69.73</v>
      </c>
      <c r="P74" s="20">
        <v>70.97</v>
      </c>
      <c r="Q74" s="20">
        <v>72.209999999999994</v>
      </c>
      <c r="R74" s="20">
        <v>73.45</v>
      </c>
      <c r="S74" s="20">
        <v>74.69</v>
      </c>
      <c r="T74" s="20">
        <v>75.92</v>
      </c>
      <c r="U74" s="20">
        <v>77.150000000000006</v>
      </c>
      <c r="V74" s="20">
        <v>78.38</v>
      </c>
      <c r="W74" s="20">
        <v>79.61</v>
      </c>
      <c r="X74" s="20">
        <v>80.83</v>
      </c>
      <c r="Y74" s="20">
        <v>82.06</v>
      </c>
      <c r="Z74" s="20"/>
    </row>
    <row r="77" spans="1:29" ht="30">
      <c r="A77" s="33" t="s">
        <v>70</v>
      </c>
      <c r="B77" s="3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29">
      <c r="A78" s="17" t="s">
        <v>49</v>
      </c>
      <c r="B78" s="18">
        <v>70</v>
      </c>
      <c r="C78" s="18">
        <v>72</v>
      </c>
      <c r="D78" s="18">
        <v>74</v>
      </c>
      <c r="E78" s="18">
        <v>76</v>
      </c>
      <c r="F78" s="18">
        <v>78</v>
      </c>
      <c r="G78" s="18">
        <v>80</v>
      </c>
      <c r="H78" s="18">
        <v>82</v>
      </c>
      <c r="I78" s="18">
        <v>84</v>
      </c>
      <c r="J78" s="18">
        <v>86</v>
      </c>
      <c r="K78" s="18">
        <v>88</v>
      </c>
      <c r="L78" s="18">
        <v>90</v>
      </c>
      <c r="M78" s="18">
        <v>92</v>
      </c>
      <c r="N78" s="18">
        <v>94</v>
      </c>
      <c r="O78" s="18">
        <v>96</v>
      </c>
      <c r="P78" s="18">
        <v>98</v>
      </c>
      <c r="Q78" s="18">
        <v>100</v>
      </c>
      <c r="R78" s="18">
        <v>102</v>
      </c>
      <c r="S78" s="18">
        <v>104</v>
      </c>
      <c r="T78" s="18">
        <v>106</v>
      </c>
      <c r="U78" s="18">
        <v>108</v>
      </c>
      <c r="V78" s="18">
        <v>110</v>
      </c>
      <c r="W78" s="18">
        <v>112</v>
      </c>
      <c r="X78" s="18">
        <v>114</v>
      </c>
      <c r="Y78" s="18">
        <v>116</v>
      </c>
      <c r="Z78" s="18">
        <v>118</v>
      </c>
      <c r="AA78" s="18">
        <v>120</v>
      </c>
      <c r="AB78" s="17"/>
      <c r="AC78" s="17"/>
    </row>
    <row r="79" spans="1:29">
      <c r="A79" s="57" t="s">
        <v>57</v>
      </c>
      <c r="B79" s="39">
        <v>71</v>
      </c>
      <c r="C79" s="39">
        <v>73</v>
      </c>
      <c r="D79" s="39">
        <v>75</v>
      </c>
      <c r="E79" s="64">
        <v>77</v>
      </c>
      <c r="F79" s="64">
        <v>79</v>
      </c>
      <c r="G79" s="43">
        <v>81</v>
      </c>
      <c r="H79" s="65">
        <v>83</v>
      </c>
      <c r="I79" s="39">
        <v>85</v>
      </c>
      <c r="J79" s="39">
        <v>87</v>
      </c>
      <c r="K79" s="20">
        <v>89</v>
      </c>
      <c r="L79" s="20">
        <v>91</v>
      </c>
      <c r="M79" s="20">
        <v>93</v>
      </c>
      <c r="N79" s="20">
        <v>95</v>
      </c>
      <c r="O79" s="39">
        <v>97</v>
      </c>
      <c r="P79" s="39">
        <v>99</v>
      </c>
      <c r="Q79" s="39">
        <v>101</v>
      </c>
      <c r="R79" s="64">
        <v>103</v>
      </c>
      <c r="S79" s="64">
        <v>105</v>
      </c>
      <c r="T79" s="43">
        <v>107</v>
      </c>
      <c r="U79" s="39">
        <v>109</v>
      </c>
      <c r="V79" s="39">
        <v>111</v>
      </c>
      <c r="W79" s="39">
        <v>113</v>
      </c>
      <c r="X79" s="20">
        <v>115</v>
      </c>
      <c r="Y79" s="20">
        <v>117</v>
      </c>
      <c r="Z79" s="20">
        <v>119</v>
      </c>
      <c r="AA79" s="20">
        <v>121</v>
      </c>
      <c r="AB79" s="20"/>
      <c r="AC79" s="26"/>
    </row>
    <row r="80" spans="1:29">
      <c r="A80" s="57" t="s">
        <v>58</v>
      </c>
      <c r="B80" s="39">
        <v>95.8</v>
      </c>
      <c r="C80" s="39">
        <v>97.8</v>
      </c>
      <c r="D80" s="39">
        <v>99.8</v>
      </c>
      <c r="E80" s="64">
        <v>101.8</v>
      </c>
      <c r="F80" s="64">
        <v>103.8</v>
      </c>
      <c r="G80" s="43">
        <v>105.8</v>
      </c>
      <c r="H80" s="65">
        <v>107.8</v>
      </c>
      <c r="I80" s="39">
        <v>109.8</v>
      </c>
      <c r="J80" s="39">
        <v>111.8</v>
      </c>
      <c r="K80" s="20">
        <v>113.8</v>
      </c>
      <c r="L80" s="20">
        <v>115.8</v>
      </c>
      <c r="M80" s="20">
        <v>117.8</v>
      </c>
      <c r="N80" s="20">
        <v>119.8</v>
      </c>
      <c r="O80" s="39">
        <v>121.8</v>
      </c>
      <c r="P80" s="39">
        <v>123.8</v>
      </c>
      <c r="Q80" s="39">
        <v>125.8</v>
      </c>
      <c r="R80" s="64">
        <v>127.8</v>
      </c>
      <c r="S80" s="64">
        <v>129.80000000000001</v>
      </c>
      <c r="T80" s="43">
        <v>131.80000000000001</v>
      </c>
      <c r="U80" s="39">
        <v>133.80000000000001</v>
      </c>
      <c r="V80" s="39">
        <v>135.80000000000001</v>
      </c>
      <c r="W80" s="39">
        <v>137.80000000000001</v>
      </c>
      <c r="X80" s="20">
        <v>139.80000000000001</v>
      </c>
      <c r="Y80" s="20">
        <v>141.80000000000001</v>
      </c>
      <c r="Z80" s="20">
        <v>143.80000000000001</v>
      </c>
      <c r="AA80" s="20">
        <v>145.80000000000001</v>
      </c>
      <c r="AB80" s="20"/>
      <c r="AC80" s="26"/>
    </row>
    <row r="81" spans="1:29" ht="18" thickBot="1">
      <c r="A81" s="57" t="s">
        <v>65</v>
      </c>
      <c r="B81" s="20">
        <v>58.3</v>
      </c>
      <c r="C81" s="20">
        <v>59.1</v>
      </c>
      <c r="D81" s="20">
        <v>60</v>
      </c>
      <c r="E81" s="20">
        <v>60.8</v>
      </c>
      <c r="F81" s="20">
        <v>61.6</v>
      </c>
      <c r="G81" s="69">
        <v>62.4</v>
      </c>
      <c r="H81" s="70">
        <v>63.2</v>
      </c>
      <c r="I81" s="20">
        <v>64.25</v>
      </c>
      <c r="J81" s="20">
        <v>65.25</v>
      </c>
      <c r="K81" s="20">
        <v>66.25</v>
      </c>
      <c r="L81" s="20">
        <v>67.2</v>
      </c>
      <c r="M81" s="20">
        <v>68.2</v>
      </c>
      <c r="N81" s="20">
        <v>69.2</v>
      </c>
      <c r="O81" s="20">
        <v>70.2</v>
      </c>
      <c r="P81" s="20">
        <v>71.2</v>
      </c>
      <c r="Q81" s="20">
        <v>72.2</v>
      </c>
      <c r="R81" s="20">
        <v>73.2</v>
      </c>
      <c r="S81" s="20">
        <v>74.150000000000006</v>
      </c>
      <c r="T81" s="69">
        <v>75.150000000000006</v>
      </c>
      <c r="U81" s="24">
        <v>76.099999999999994</v>
      </c>
      <c r="V81" s="20">
        <v>77.099999999999994</v>
      </c>
      <c r="W81" s="20">
        <v>78</v>
      </c>
      <c r="X81" s="20">
        <v>79</v>
      </c>
      <c r="Y81" s="20">
        <v>80</v>
      </c>
      <c r="Z81" s="20">
        <v>81</v>
      </c>
      <c r="AA81" s="20">
        <v>82</v>
      </c>
      <c r="AB81" s="20"/>
      <c r="AC81" s="26"/>
    </row>
    <row r="84" spans="1:29" ht="31" thickBot="1">
      <c r="A84" s="71" t="s">
        <v>71</v>
      </c>
      <c r="B84" s="72"/>
      <c r="C84" s="16"/>
      <c r="D84" s="16"/>
      <c r="E84" s="16"/>
      <c r="F84" s="16"/>
      <c r="G84" s="16"/>
      <c r="H84" s="16"/>
      <c r="I84" s="16"/>
      <c r="J84" s="16"/>
      <c r="K84" s="16"/>
    </row>
    <row r="85" spans="1:29">
      <c r="A85" s="17" t="s">
        <v>49</v>
      </c>
      <c r="B85" s="18">
        <v>76</v>
      </c>
      <c r="C85" s="18">
        <v>78</v>
      </c>
      <c r="D85" s="18">
        <v>80</v>
      </c>
      <c r="E85" s="18">
        <v>82</v>
      </c>
      <c r="F85" s="36">
        <v>84</v>
      </c>
      <c r="G85" s="38">
        <v>86</v>
      </c>
      <c r="H85" s="18">
        <v>88</v>
      </c>
      <c r="I85" s="18">
        <v>90</v>
      </c>
      <c r="J85" s="18">
        <v>92</v>
      </c>
      <c r="K85" s="18">
        <v>94</v>
      </c>
      <c r="L85" s="18">
        <v>96</v>
      </c>
      <c r="M85" s="18">
        <v>98</v>
      </c>
      <c r="N85" s="18">
        <v>100</v>
      </c>
      <c r="O85" s="18">
        <v>102</v>
      </c>
      <c r="P85" s="18">
        <v>104</v>
      </c>
      <c r="Q85" s="18">
        <v>106</v>
      </c>
      <c r="R85" s="18">
        <v>108</v>
      </c>
      <c r="S85" s="18">
        <v>110</v>
      </c>
      <c r="T85" s="50"/>
    </row>
    <row r="86" spans="1:29">
      <c r="A86" s="57" t="s">
        <v>57</v>
      </c>
      <c r="B86" s="20">
        <v>78</v>
      </c>
      <c r="C86" s="20">
        <v>80</v>
      </c>
      <c r="D86" s="20">
        <v>82</v>
      </c>
      <c r="E86" s="20">
        <v>84</v>
      </c>
      <c r="F86" s="53">
        <v>86</v>
      </c>
      <c r="G86" s="24">
        <v>88</v>
      </c>
      <c r="H86" s="20">
        <v>90</v>
      </c>
      <c r="I86" s="20">
        <v>92</v>
      </c>
      <c r="J86" s="20">
        <v>94</v>
      </c>
      <c r="K86" s="20">
        <v>96</v>
      </c>
      <c r="L86" s="20">
        <v>98</v>
      </c>
      <c r="M86" s="20">
        <v>100</v>
      </c>
      <c r="N86" s="20">
        <v>102</v>
      </c>
      <c r="O86" s="20">
        <v>104</v>
      </c>
      <c r="P86" s="20">
        <v>106</v>
      </c>
      <c r="Q86" s="20">
        <v>108</v>
      </c>
      <c r="R86" s="20">
        <v>110</v>
      </c>
      <c r="S86" s="20">
        <v>112</v>
      </c>
      <c r="T86" s="20"/>
    </row>
    <row r="87" spans="1:29">
      <c r="A87" s="57" t="s">
        <v>58</v>
      </c>
      <c r="B87" s="20">
        <v>97</v>
      </c>
      <c r="C87" s="20">
        <v>99</v>
      </c>
      <c r="D87" s="20">
        <v>101</v>
      </c>
      <c r="E87" s="20">
        <v>103</v>
      </c>
      <c r="F87" s="53">
        <v>105</v>
      </c>
      <c r="G87" s="24">
        <v>107</v>
      </c>
      <c r="H87" s="20">
        <v>109</v>
      </c>
      <c r="I87" s="20">
        <v>111</v>
      </c>
      <c r="J87" s="20">
        <v>113</v>
      </c>
      <c r="K87" s="20">
        <v>115</v>
      </c>
      <c r="L87" s="20">
        <v>117</v>
      </c>
      <c r="M87" s="20">
        <v>119</v>
      </c>
      <c r="N87" s="20">
        <v>121</v>
      </c>
      <c r="O87" s="20">
        <v>123</v>
      </c>
      <c r="P87" s="20">
        <v>125</v>
      </c>
      <c r="Q87" s="20">
        <v>127</v>
      </c>
      <c r="R87" s="20">
        <v>129</v>
      </c>
      <c r="S87" s="20">
        <v>131</v>
      </c>
      <c r="T87" s="20"/>
    </row>
    <row r="88" spans="1:29" ht="18" thickBot="1">
      <c r="A88" s="57" t="s">
        <v>65</v>
      </c>
      <c r="B88" s="20">
        <v>58.2</v>
      </c>
      <c r="C88" s="20">
        <v>59.2</v>
      </c>
      <c r="D88" s="20">
        <v>60</v>
      </c>
      <c r="E88" s="20">
        <v>61</v>
      </c>
      <c r="F88" s="69">
        <v>62.1</v>
      </c>
      <c r="G88" s="24">
        <v>63.3</v>
      </c>
      <c r="H88" s="20">
        <v>64.45</v>
      </c>
      <c r="I88" s="20">
        <v>65.599999999999994</v>
      </c>
      <c r="J88" s="20">
        <v>66.849999999999994</v>
      </c>
      <c r="K88" s="20">
        <v>68.099999999999994</v>
      </c>
      <c r="L88" s="20">
        <v>69.400000000000006</v>
      </c>
      <c r="M88" s="20">
        <v>70.7</v>
      </c>
      <c r="N88" s="20">
        <v>72</v>
      </c>
      <c r="O88" s="20">
        <v>73</v>
      </c>
      <c r="P88" s="20">
        <v>74.2</v>
      </c>
      <c r="Q88" s="20">
        <v>75.5</v>
      </c>
      <c r="R88" s="20">
        <v>76.7</v>
      </c>
      <c r="S88" s="20">
        <v>77.900000000000006</v>
      </c>
      <c r="T88" s="20"/>
    </row>
    <row r="91" spans="1:29" ht="30">
      <c r="A91" s="14" t="s">
        <v>72</v>
      </c>
      <c r="B91" s="15"/>
      <c r="C91" s="15"/>
      <c r="D91" s="16"/>
      <c r="E91" s="16"/>
      <c r="F91" s="16"/>
      <c r="G91" s="16"/>
      <c r="H91" s="16"/>
      <c r="I91" s="16"/>
      <c r="J91" s="16"/>
      <c r="K91" s="16"/>
      <c r="L91" s="16"/>
    </row>
    <row r="92" spans="1:29">
      <c r="A92" s="17" t="s">
        <v>35</v>
      </c>
      <c r="B92" s="18">
        <v>70</v>
      </c>
      <c r="C92" s="18">
        <v>72</v>
      </c>
      <c r="D92" s="18">
        <v>74</v>
      </c>
      <c r="E92" s="18">
        <v>76</v>
      </c>
      <c r="F92" s="18">
        <v>78</v>
      </c>
      <c r="G92" s="18">
        <v>80</v>
      </c>
      <c r="H92" s="31">
        <v>82</v>
      </c>
      <c r="I92" s="18">
        <v>84</v>
      </c>
      <c r="J92" s="18">
        <v>86</v>
      </c>
      <c r="K92" s="18">
        <v>88</v>
      </c>
      <c r="L92" s="18">
        <v>90</v>
      </c>
      <c r="M92" s="18">
        <v>92</v>
      </c>
      <c r="N92" s="18">
        <v>94</v>
      </c>
      <c r="O92" s="18">
        <v>96</v>
      </c>
      <c r="P92" s="18">
        <v>98</v>
      </c>
      <c r="Q92" s="18">
        <v>100</v>
      </c>
      <c r="R92" s="18">
        <v>102</v>
      </c>
      <c r="S92" s="18">
        <v>104</v>
      </c>
      <c r="T92" s="18">
        <v>106</v>
      </c>
      <c r="U92" s="18">
        <v>108</v>
      </c>
      <c r="V92" s="18">
        <v>110</v>
      </c>
      <c r="W92" s="17"/>
    </row>
    <row r="93" spans="1:29">
      <c r="A93" s="57" t="s">
        <v>57</v>
      </c>
      <c r="B93" s="20">
        <v>72</v>
      </c>
      <c r="C93" s="20">
        <v>74</v>
      </c>
      <c r="D93" s="20">
        <v>76</v>
      </c>
      <c r="E93" s="20">
        <v>78</v>
      </c>
      <c r="F93" s="20">
        <v>80</v>
      </c>
      <c r="G93" s="20">
        <v>82</v>
      </c>
      <c r="H93" s="58">
        <v>84</v>
      </c>
      <c r="I93" s="24">
        <v>86</v>
      </c>
      <c r="J93" s="24">
        <v>88</v>
      </c>
      <c r="K93" s="20">
        <v>90</v>
      </c>
      <c r="L93" s="20">
        <v>92</v>
      </c>
      <c r="M93" s="20">
        <v>94</v>
      </c>
      <c r="N93" s="20">
        <v>96</v>
      </c>
      <c r="O93" s="20">
        <v>98</v>
      </c>
      <c r="P93" s="20">
        <v>100</v>
      </c>
      <c r="Q93" s="20">
        <v>102</v>
      </c>
      <c r="R93" s="20">
        <v>104</v>
      </c>
      <c r="S93" s="20">
        <v>106</v>
      </c>
      <c r="T93" s="20">
        <v>108</v>
      </c>
      <c r="U93" s="20">
        <v>110</v>
      </c>
      <c r="V93" s="20">
        <v>112</v>
      </c>
      <c r="W93" s="20"/>
    </row>
    <row r="94" spans="1:29">
      <c r="A94" s="57" t="s">
        <v>58</v>
      </c>
      <c r="B94" s="20">
        <v>88</v>
      </c>
      <c r="C94" s="20">
        <v>90</v>
      </c>
      <c r="D94" s="20">
        <v>92</v>
      </c>
      <c r="E94" s="20">
        <v>94</v>
      </c>
      <c r="F94" s="20">
        <v>96</v>
      </c>
      <c r="G94" s="20">
        <v>98</v>
      </c>
      <c r="H94" s="58">
        <v>100</v>
      </c>
      <c r="I94" s="24">
        <v>102</v>
      </c>
      <c r="J94" s="24">
        <v>104</v>
      </c>
      <c r="K94" s="20">
        <v>106</v>
      </c>
      <c r="L94" s="20">
        <v>108</v>
      </c>
      <c r="M94" s="20">
        <v>110</v>
      </c>
      <c r="N94" s="20">
        <v>112</v>
      </c>
      <c r="O94" s="20">
        <v>114</v>
      </c>
      <c r="P94" s="20">
        <v>116</v>
      </c>
      <c r="Q94" s="20">
        <v>118</v>
      </c>
      <c r="R94" s="20">
        <v>120</v>
      </c>
      <c r="S94" s="20">
        <v>122</v>
      </c>
      <c r="T94" s="20">
        <v>124</v>
      </c>
      <c r="U94" s="20">
        <v>126</v>
      </c>
      <c r="V94" s="20">
        <v>128</v>
      </c>
      <c r="W94" s="20"/>
    </row>
    <row r="95" spans="1:29" ht="18" thickBot="1">
      <c r="A95" s="57" t="s">
        <v>64</v>
      </c>
      <c r="B95" s="20">
        <v>54.4</v>
      </c>
      <c r="C95" s="20">
        <v>55.35</v>
      </c>
      <c r="D95" s="20">
        <v>56.3</v>
      </c>
      <c r="E95" s="20">
        <v>57.2</v>
      </c>
      <c r="F95" s="20">
        <v>58.15</v>
      </c>
      <c r="G95" s="20">
        <v>59</v>
      </c>
      <c r="H95" s="62">
        <v>60</v>
      </c>
      <c r="I95" s="24">
        <v>61.1</v>
      </c>
      <c r="J95" s="20">
        <v>62.3</v>
      </c>
      <c r="K95" s="20">
        <v>63.5</v>
      </c>
      <c r="L95" s="20">
        <v>64.599999999999994</v>
      </c>
      <c r="M95" s="20">
        <v>66</v>
      </c>
      <c r="N95" s="20">
        <v>67.2</v>
      </c>
      <c r="O95" s="20">
        <v>68.25</v>
      </c>
      <c r="P95" s="20">
        <v>69.55</v>
      </c>
      <c r="Q95" s="20">
        <v>70.849999999999994</v>
      </c>
      <c r="R95" s="20">
        <v>72</v>
      </c>
      <c r="S95" s="20">
        <v>73.3</v>
      </c>
      <c r="T95" s="20">
        <v>74.599999999999994</v>
      </c>
      <c r="U95" s="20">
        <v>75.900000000000006</v>
      </c>
      <c r="V95" s="20">
        <v>77.099999999999994</v>
      </c>
      <c r="W95" s="20"/>
    </row>
    <row r="96" spans="1:29">
      <c r="A96" s="86"/>
      <c r="B96" s="77"/>
      <c r="C96" s="77"/>
      <c r="D96" s="77"/>
      <c r="E96" s="77"/>
      <c r="F96" s="77"/>
      <c r="G96" s="77"/>
      <c r="H96" s="83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</row>
    <row r="97" spans="1:23">
      <c r="A97" s="86"/>
      <c r="B97" s="77"/>
      <c r="C97" s="77"/>
      <c r="D97" s="77"/>
      <c r="E97" s="77"/>
      <c r="F97" s="77"/>
      <c r="G97" s="77"/>
      <c r="H97" s="83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 spans="1:23" ht="30">
      <c r="A98" s="14" t="s">
        <v>73</v>
      </c>
      <c r="B98" s="15"/>
      <c r="C98" s="15"/>
      <c r="D98" s="16"/>
      <c r="E98" s="16"/>
      <c r="F98" s="16"/>
      <c r="G98" s="16"/>
      <c r="H98" s="16"/>
      <c r="I98" s="16"/>
      <c r="J98" s="16"/>
      <c r="K98" s="16"/>
      <c r="L98" s="16"/>
    </row>
    <row r="99" spans="1:23">
      <c r="A99" s="17" t="s">
        <v>35</v>
      </c>
      <c r="B99" s="18">
        <v>70</v>
      </c>
      <c r="C99" s="18">
        <v>72</v>
      </c>
      <c r="D99" s="18">
        <v>74</v>
      </c>
      <c r="E99" s="18">
        <v>76</v>
      </c>
      <c r="F99" s="18">
        <v>78</v>
      </c>
      <c r="G99" s="18">
        <v>80</v>
      </c>
      <c r="H99" s="31">
        <v>82</v>
      </c>
      <c r="I99" s="18">
        <v>84</v>
      </c>
      <c r="J99" s="18">
        <v>86</v>
      </c>
      <c r="K99" s="18">
        <v>88</v>
      </c>
      <c r="L99" s="18">
        <v>90</v>
      </c>
      <c r="M99" s="18">
        <v>92</v>
      </c>
      <c r="N99" s="18">
        <v>94</v>
      </c>
      <c r="O99" s="18">
        <v>96</v>
      </c>
      <c r="P99" s="18">
        <v>98</v>
      </c>
      <c r="Q99" s="18">
        <v>100</v>
      </c>
      <c r="R99" s="18">
        <v>102</v>
      </c>
      <c r="S99" s="18">
        <v>104</v>
      </c>
      <c r="T99" s="18">
        <v>106</v>
      </c>
      <c r="U99" s="18">
        <v>108</v>
      </c>
      <c r="V99" s="18">
        <v>110</v>
      </c>
      <c r="W99" s="17"/>
    </row>
    <row r="100" spans="1:23">
      <c r="A100" s="57" t="s">
        <v>57</v>
      </c>
      <c r="B100" s="20">
        <v>72</v>
      </c>
      <c r="C100" s="20">
        <v>74</v>
      </c>
      <c r="D100" s="20">
        <v>76</v>
      </c>
      <c r="E100" s="20">
        <v>78</v>
      </c>
      <c r="F100" s="20">
        <v>80</v>
      </c>
      <c r="G100" s="20">
        <v>82</v>
      </c>
      <c r="H100" s="58">
        <v>84</v>
      </c>
      <c r="I100" s="24">
        <v>86</v>
      </c>
      <c r="J100" s="24">
        <v>88</v>
      </c>
      <c r="K100" s="20">
        <v>90</v>
      </c>
      <c r="L100" s="20">
        <v>92</v>
      </c>
      <c r="M100" s="20">
        <v>94</v>
      </c>
      <c r="N100" s="20">
        <v>96</v>
      </c>
      <c r="O100" s="20">
        <v>98</v>
      </c>
      <c r="P100" s="20">
        <v>100</v>
      </c>
      <c r="Q100" s="20">
        <v>102</v>
      </c>
      <c r="R100" s="20">
        <v>104</v>
      </c>
      <c r="S100" s="20">
        <v>106</v>
      </c>
      <c r="T100" s="20">
        <v>108</v>
      </c>
      <c r="U100" s="20">
        <v>110</v>
      </c>
      <c r="V100" s="20">
        <v>112</v>
      </c>
      <c r="W100" s="20"/>
    </row>
    <row r="101" spans="1:23">
      <c r="A101" s="57" t="s">
        <v>58</v>
      </c>
      <c r="B101" s="20">
        <v>93</v>
      </c>
      <c r="C101" s="20">
        <v>95</v>
      </c>
      <c r="D101" s="20">
        <v>97</v>
      </c>
      <c r="E101" s="20">
        <v>99</v>
      </c>
      <c r="F101" s="20">
        <v>101</v>
      </c>
      <c r="G101" s="20">
        <v>103</v>
      </c>
      <c r="H101" s="58">
        <v>105</v>
      </c>
      <c r="I101" s="24">
        <v>107</v>
      </c>
      <c r="J101" s="24">
        <v>109</v>
      </c>
      <c r="K101" s="20">
        <v>111</v>
      </c>
      <c r="L101" s="20">
        <v>113</v>
      </c>
      <c r="M101" s="20">
        <v>115</v>
      </c>
      <c r="N101" s="20">
        <v>117</v>
      </c>
      <c r="O101" s="20">
        <v>119</v>
      </c>
      <c r="P101" s="20">
        <v>121</v>
      </c>
      <c r="Q101" s="20">
        <v>123</v>
      </c>
      <c r="R101" s="20">
        <v>125</v>
      </c>
      <c r="S101" s="20">
        <v>127</v>
      </c>
      <c r="T101" s="20">
        <v>129</v>
      </c>
      <c r="U101" s="20">
        <v>131</v>
      </c>
      <c r="V101" s="20">
        <v>133</v>
      </c>
      <c r="W101" s="20"/>
    </row>
    <row r="102" spans="1:23" ht="18" thickBot="1">
      <c r="A102" s="57" t="s">
        <v>64</v>
      </c>
      <c r="B102" s="20">
        <v>56.5</v>
      </c>
      <c r="C102" s="20">
        <v>57.4</v>
      </c>
      <c r="D102" s="20">
        <v>58.4</v>
      </c>
      <c r="E102" s="20">
        <v>59.3</v>
      </c>
      <c r="F102" s="20">
        <v>62.2</v>
      </c>
      <c r="G102" s="20">
        <v>61.4</v>
      </c>
      <c r="H102" s="62">
        <v>62.1</v>
      </c>
      <c r="I102" s="24">
        <v>63.2</v>
      </c>
      <c r="J102" s="20">
        <v>64.3</v>
      </c>
      <c r="K102" s="20">
        <v>65.5</v>
      </c>
      <c r="L102" s="20">
        <v>66.599999999999994</v>
      </c>
      <c r="M102" s="20">
        <v>67.900000000000006</v>
      </c>
      <c r="N102" s="20">
        <v>69.2</v>
      </c>
      <c r="O102" s="20">
        <v>70.5</v>
      </c>
      <c r="P102" s="20">
        <v>71.7</v>
      </c>
      <c r="Q102" s="20">
        <v>73</v>
      </c>
      <c r="R102" s="20">
        <v>74.3</v>
      </c>
      <c r="S102" s="20">
        <v>75.5</v>
      </c>
      <c r="T102" s="20">
        <v>76.8</v>
      </c>
      <c r="U102" s="20">
        <v>78.099999999999994</v>
      </c>
      <c r="V102" s="20">
        <v>79.3</v>
      </c>
      <c r="W102" s="2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6"/>
  <sheetViews>
    <sheetView workbookViewId="0">
      <selection activeCell="M31" sqref="M31"/>
    </sheetView>
  </sheetViews>
  <sheetFormatPr baseColWidth="10" defaultColWidth="8.83203125" defaultRowHeight="17"/>
  <sheetData>
    <row r="1" spans="1:23" ht="30">
      <c r="A1" s="14" t="s">
        <v>66</v>
      </c>
      <c r="B1" s="15"/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A2" s="17" t="s">
        <v>35</v>
      </c>
      <c r="B2" s="18">
        <v>44</v>
      </c>
      <c r="C2" s="19"/>
      <c r="D2" s="18">
        <v>46</v>
      </c>
      <c r="E2" s="19"/>
      <c r="F2" s="18">
        <v>48</v>
      </c>
      <c r="G2" s="19"/>
      <c r="H2" s="18">
        <v>50</v>
      </c>
      <c r="I2" s="19"/>
      <c r="J2" s="18">
        <v>52</v>
      </c>
      <c r="K2" s="19"/>
      <c r="L2" s="18">
        <v>54</v>
      </c>
      <c r="M2" s="19"/>
      <c r="N2" s="18">
        <v>56</v>
      </c>
      <c r="O2" s="19"/>
      <c r="P2" s="18" t="s">
        <v>36</v>
      </c>
      <c r="Q2" s="19"/>
      <c r="R2" s="18">
        <v>58</v>
      </c>
      <c r="S2" s="19"/>
      <c r="T2" s="18">
        <v>60</v>
      </c>
      <c r="U2" s="19"/>
      <c r="V2" s="17" t="s">
        <v>37</v>
      </c>
      <c r="W2" s="17"/>
    </row>
    <row r="3" spans="1:23">
      <c r="A3" s="17" t="s">
        <v>38</v>
      </c>
      <c r="B3" s="20">
        <v>70.5</v>
      </c>
      <c r="C3" s="21">
        <f t="shared" ref="C3:C10" si="0">B3/2.54</f>
        <v>27.755905511811022</v>
      </c>
      <c r="D3" s="20">
        <v>71.5</v>
      </c>
      <c r="E3" s="21">
        <f t="shared" ref="E3:E10" si="1">D3/2.54</f>
        <v>28.149606299212596</v>
      </c>
      <c r="F3" s="22">
        <v>72.5</v>
      </c>
      <c r="G3" s="23">
        <f t="shared" ref="G3:G10" si="2">F3/2.54</f>
        <v>28.543307086614174</v>
      </c>
      <c r="H3" s="20">
        <v>73.5</v>
      </c>
      <c r="I3" s="21">
        <f t="shared" ref="I3:I10" si="3">H3/2.54</f>
        <v>28.937007874015748</v>
      </c>
      <c r="J3" s="24">
        <v>74.5</v>
      </c>
      <c r="K3" s="21">
        <f t="shared" ref="K3:K10" si="4">J3/2.54</f>
        <v>29.330708661417322</v>
      </c>
      <c r="L3" s="20">
        <v>75.5</v>
      </c>
      <c r="M3" s="25">
        <f t="shared" ref="M3:M10" si="5">L3/2.54</f>
        <v>29.724409448818896</v>
      </c>
      <c r="N3" s="20">
        <v>76.5</v>
      </c>
      <c r="O3" s="21">
        <f t="shared" ref="O3:O10" si="6">N3/2.54</f>
        <v>30.11811023622047</v>
      </c>
      <c r="P3" s="20">
        <v>76.5</v>
      </c>
      <c r="Q3" s="21">
        <f t="shared" ref="Q3:Q10" si="7">P3/2.54</f>
        <v>30.11811023622047</v>
      </c>
      <c r="R3" s="20">
        <v>77.5</v>
      </c>
      <c r="S3" s="21">
        <f t="shared" ref="S3:S10" si="8">R3/2.54</f>
        <v>30.511811023622048</v>
      </c>
      <c r="T3" s="20">
        <v>78.5</v>
      </c>
      <c r="U3" s="21">
        <f t="shared" ref="U3:U10" si="9">T3/2.54</f>
        <v>30.905511811023622</v>
      </c>
      <c r="V3" s="20">
        <f t="shared" ref="V3:V9" si="10">T3-R3</f>
        <v>1</v>
      </c>
      <c r="W3" s="26">
        <f t="shared" ref="W3:W9" si="11">V3/2.54</f>
        <v>0.39370078740157477</v>
      </c>
    </row>
    <row r="4" spans="1:23">
      <c r="A4" s="17" t="s">
        <v>39</v>
      </c>
      <c r="B4" s="20">
        <v>42</v>
      </c>
      <c r="C4" s="21">
        <f t="shared" si="0"/>
        <v>16.535433070866141</v>
      </c>
      <c r="D4" s="20">
        <v>43</v>
      </c>
      <c r="E4" s="21">
        <f t="shared" si="1"/>
        <v>16.929133858267715</v>
      </c>
      <c r="F4" s="22">
        <v>44</v>
      </c>
      <c r="G4" s="23">
        <f t="shared" si="2"/>
        <v>17.322834645669293</v>
      </c>
      <c r="H4" s="20">
        <v>45</v>
      </c>
      <c r="I4" s="21">
        <f t="shared" si="3"/>
        <v>17.716535433070867</v>
      </c>
      <c r="J4" s="24">
        <v>46</v>
      </c>
      <c r="K4" s="21">
        <f t="shared" si="4"/>
        <v>18.110236220472441</v>
      </c>
      <c r="L4" s="20">
        <v>47</v>
      </c>
      <c r="M4" s="25">
        <f t="shared" si="5"/>
        <v>18.503937007874015</v>
      </c>
      <c r="N4" s="20">
        <v>48</v>
      </c>
      <c r="O4" s="21">
        <f t="shared" si="6"/>
        <v>18.897637795275589</v>
      </c>
      <c r="P4" s="20">
        <v>49</v>
      </c>
      <c r="Q4" s="21">
        <f t="shared" si="7"/>
        <v>19.291338582677167</v>
      </c>
      <c r="R4" s="20">
        <v>50</v>
      </c>
      <c r="S4" s="21">
        <f t="shared" si="8"/>
        <v>19.685039370078741</v>
      </c>
      <c r="T4" s="20">
        <v>51</v>
      </c>
      <c r="U4" s="21">
        <f t="shared" si="9"/>
        <v>20.078740157480315</v>
      </c>
      <c r="V4" s="20">
        <f t="shared" si="10"/>
        <v>1</v>
      </c>
      <c r="W4" s="26">
        <f t="shared" si="11"/>
        <v>0.39370078740157477</v>
      </c>
    </row>
    <row r="5" spans="1:23">
      <c r="A5" s="17" t="s">
        <v>40</v>
      </c>
      <c r="B5" s="20">
        <v>96</v>
      </c>
      <c r="C5" s="21">
        <f t="shared" si="0"/>
        <v>37.795275590551178</v>
      </c>
      <c r="D5" s="20">
        <v>99</v>
      </c>
      <c r="E5" s="21">
        <f t="shared" si="1"/>
        <v>38.976377952755904</v>
      </c>
      <c r="F5" s="22">
        <v>102</v>
      </c>
      <c r="G5" s="23">
        <f t="shared" si="2"/>
        <v>40.15748031496063</v>
      </c>
      <c r="H5" s="20">
        <v>105</v>
      </c>
      <c r="I5" s="21">
        <f t="shared" si="3"/>
        <v>41.338582677165356</v>
      </c>
      <c r="J5" s="24">
        <v>108</v>
      </c>
      <c r="K5" s="21">
        <f t="shared" si="4"/>
        <v>42.519685039370081</v>
      </c>
      <c r="L5" s="20">
        <v>111</v>
      </c>
      <c r="M5" s="25">
        <f t="shared" si="5"/>
        <v>43.7007874015748</v>
      </c>
      <c r="N5" s="20">
        <v>114</v>
      </c>
      <c r="O5" s="21">
        <f t="shared" si="6"/>
        <v>44.881889763779526</v>
      </c>
      <c r="P5" s="20">
        <v>117</v>
      </c>
      <c r="Q5" s="21">
        <f t="shared" si="7"/>
        <v>46.062992125984252</v>
      </c>
      <c r="R5" s="20">
        <v>120</v>
      </c>
      <c r="S5" s="21">
        <f t="shared" si="8"/>
        <v>47.244094488188978</v>
      </c>
      <c r="T5" s="20">
        <v>123</v>
      </c>
      <c r="U5" s="21">
        <f t="shared" si="9"/>
        <v>48.425196850393704</v>
      </c>
      <c r="V5" s="20">
        <f t="shared" si="10"/>
        <v>3</v>
      </c>
      <c r="W5" s="26">
        <f t="shared" si="11"/>
        <v>1.1811023622047243</v>
      </c>
    </row>
    <row r="6" spans="1:23">
      <c r="A6" s="17" t="s">
        <v>41</v>
      </c>
      <c r="B6" s="20">
        <v>84.5</v>
      </c>
      <c r="C6" s="21">
        <f t="shared" si="0"/>
        <v>33.267716535433074</v>
      </c>
      <c r="D6" s="20">
        <v>87.5</v>
      </c>
      <c r="E6" s="21">
        <f t="shared" si="1"/>
        <v>34.448818897637793</v>
      </c>
      <c r="F6" s="22">
        <v>90.5</v>
      </c>
      <c r="G6" s="23">
        <f t="shared" si="2"/>
        <v>35.629921259842519</v>
      </c>
      <c r="H6" s="20">
        <v>93.5</v>
      </c>
      <c r="I6" s="21">
        <f t="shared" si="3"/>
        <v>36.811023622047244</v>
      </c>
      <c r="J6" s="24">
        <v>96.5</v>
      </c>
      <c r="K6" s="25">
        <f t="shared" si="4"/>
        <v>37.99212598425197</v>
      </c>
      <c r="L6" s="20">
        <v>99.5</v>
      </c>
      <c r="M6" s="27">
        <f t="shared" si="5"/>
        <v>39.173228346456689</v>
      </c>
      <c r="N6" s="20">
        <v>102.5</v>
      </c>
      <c r="O6" s="21">
        <f t="shared" si="6"/>
        <v>40.354330708661415</v>
      </c>
      <c r="P6" s="20">
        <v>105.5</v>
      </c>
      <c r="Q6" s="21">
        <f t="shared" si="7"/>
        <v>41.535433070866141</v>
      </c>
      <c r="R6" s="20">
        <v>108.5</v>
      </c>
      <c r="S6" s="21">
        <f t="shared" si="8"/>
        <v>42.716535433070867</v>
      </c>
      <c r="T6" s="20">
        <v>111.5</v>
      </c>
      <c r="U6" s="21">
        <f t="shared" si="9"/>
        <v>43.897637795275593</v>
      </c>
      <c r="V6" s="20">
        <f t="shared" si="10"/>
        <v>3</v>
      </c>
      <c r="W6" s="26">
        <f t="shared" si="11"/>
        <v>1.1811023622047243</v>
      </c>
    </row>
    <row r="7" spans="1:23">
      <c r="A7" s="17" t="s">
        <v>42</v>
      </c>
      <c r="B7" s="20">
        <v>59.5</v>
      </c>
      <c r="C7" s="21">
        <f t="shared" si="0"/>
        <v>23.4251968503937</v>
      </c>
      <c r="D7" s="20">
        <v>60.5</v>
      </c>
      <c r="E7" s="21">
        <f t="shared" si="1"/>
        <v>23.818897637795274</v>
      </c>
      <c r="F7" s="22">
        <v>61.5</v>
      </c>
      <c r="G7" s="23">
        <f t="shared" si="2"/>
        <v>24.212598425196852</v>
      </c>
      <c r="H7" s="20">
        <v>62.5</v>
      </c>
      <c r="I7" s="21">
        <f t="shared" si="3"/>
        <v>24.606299212598426</v>
      </c>
      <c r="J7" s="24">
        <v>63.5</v>
      </c>
      <c r="K7" s="21">
        <f t="shared" si="4"/>
        <v>25</v>
      </c>
      <c r="L7" s="20">
        <v>64.5</v>
      </c>
      <c r="M7" s="25">
        <f t="shared" si="5"/>
        <v>25.393700787401574</v>
      </c>
      <c r="N7" s="20">
        <v>65.5</v>
      </c>
      <c r="O7" s="21">
        <f t="shared" si="6"/>
        <v>25.787401574803148</v>
      </c>
      <c r="P7" s="20">
        <v>65.5</v>
      </c>
      <c r="Q7" s="21">
        <f t="shared" si="7"/>
        <v>25.787401574803148</v>
      </c>
      <c r="R7" s="20">
        <v>66.5</v>
      </c>
      <c r="S7" s="21">
        <f t="shared" si="8"/>
        <v>26.181102362204722</v>
      </c>
      <c r="T7" s="20">
        <v>67.5</v>
      </c>
      <c r="U7" s="21">
        <f t="shared" si="9"/>
        <v>26.5748031496063</v>
      </c>
      <c r="V7" s="20">
        <f t="shared" si="10"/>
        <v>1</v>
      </c>
      <c r="W7" s="26">
        <f t="shared" si="11"/>
        <v>0.39370078740157477</v>
      </c>
    </row>
    <row r="8" spans="1:23">
      <c r="A8" s="17" t="s">
        <v>43</v>
      </c>
      <c r="B8" s="20">
        <v>37.9</v>
      </c>
      <c r="C8" s="21">
        <f t="shared" si="0"/>
        <v>14.921259842519683</v>
      </c>
      <c r="D8" s="20">
        <v>38.700000000000003</v>
      </c>
      <c r="E8" s="21">
        <f t="shared" si="1"/>
        <v>15.236220472440946</v>
      </c>
      <c r="F8" s="22">
        <v>39.5</v>
      </c>
      <c r="G8" s="23">
        <f t="shared" si="2"/>
        <v>15.551181102362204</v>
      </c>
      <c r="H8" s="20">
        <v>40.299999999999997</v>
      </c>
      <c r="I8" s="21">
        <f t="shared" si="3"/>
        <v>15.866141732283463</v>
      </c>
      <c r="J8" s="24">
        <v>41.1</v>
      </c>
      <c r="K8" s="21">
        <f t="shared" si="4"/>
        <v>16.181102362204726</v>
      </c>
      <c r="L8" s="20">
        <v>41.9</v>
      </c>
      <c r="M8" s="25">
        <f t="shared" si="5"/>
        <v>16.496062992125985</v>
      </c>
      <c r="N8" s="20">
        <v>42.7</v>
      </c>
      <c r="O8" s="21">
        <f t="shared" si="6"/>
        <v>16.811023622047244</v>
      </c>
      <c r="P8" s="20">
        <v>43.5</v>
      </c>
      <c r="Q8" s="21">
        <f t="shared" si="7"/>
        <v>17.125984251968504</v>
      </c>
      <c r="R8" s="20">
        <v>44.3</v>
      </c>
      <c r="S8" s="21">
        <f t="shared" si="8"/>
        <v>17.440944881889763</v>
      </c>
      <c r="T8" s="20">
        <v>45.1</v>
      </c>
      <c r="U8" s="21">
        <f t="shared" si="9"/>
        <v>17.755905511811022</v>
      </c>
      <c r="V8" s="20">
        <f t="shared" si="10"/>
        <v>0.80000000000000426</v>
      </c>
      <c r="W8" s="26">
        <f t="shared" si="11"/>
        <v>0.3149606299212615</v>
      </c>
    </row>
    <row r="9" spans="1:23">
      <c r="A9" s="17" t="s">
        <v>44</v>
      </c>
      <c r="B9" s="20">
        <v>13.4</v>
      </c>
      <c r="C9" s="21">
        <f t="shared" si="0"/>
        <v>5.2755905511811028</v>
      </c>
      <c r="D9" s="20">
        <v>13.65</v>
      </c>
      <c r="E9" s="21">
        <f t="shared" si="1"/>
        <v>5.3740157480314963</v>
      </c>
      <c r="F9" s="22">
        <v>13.9</v>
      </c>
      <c r="G9" s="23">
        <f t="shared" si="2"/>
        <v>5.4724409448818898</v>
      </c>
      <c r="H9" s="20">
        <v>14.15</v>
      </c>
      <c r="I9" s="28">
        <f t="shared" si="3"/>
        <v>5.5708661417322833</v>
      </c>
      <c r="J9" s="24">
        <v>14.4</v>
      </c>
      <c r="K9" s="21">
        <f t="shared" si="4"/>
        <v>5.6692913385826769</v>
      </c>
      <c r="L9" s="20">
        <v>14.65</v>
      </c>
      <c r="M9" s="25">
        <f t="shared" si="5"/>
        <v>5.7677165354330713</v>
      </c>
      <c r="N9" s="20">
        <v>14.9</v>
      </c>
      <c r="O9" s="21">
        <f t="shared" si="6"/>
        <v>5.8661417322834648</v>
      </c>
      <c r="P9" s="20">
        <v>15.15</v>
      </c>
      <c r="Q9" s="21">
        <f t="shared" si="7"/>
        <v>5.9645669291338583</v>
      </c>
      <c r="R9" s="20">
        <v>15.4</v>
      </c>
      <c r="S9" s="21">
        <f t="shared" si="8"/>
        <v>6.0629921259842519</v>
      </c>
      <c r="T9" s="20">
        <v>15.65</v>
      </c>
      <c r="U9" s="21">
        <f t="shared" si="9"/>
        <v>6.1614173228346454</v>
      </c>
      <c r="V9" s="20">
        <f t="shared" si="10"/>
        <v>0.25</v>
      </c>
      <c r="W9" s="26">
        <f t="shared" si="11"/>
        <v>9.8425196850393692E-2</v>
      </c>
    </row>
    <row r="10" spans="1:23">
      <c r="A10" s="17" t="s">
        <v>45</v>
      </c>
      <c r="B10" s="20">
        <v>8.8000000000000007</v>
      </c>
      <c r="C10" s="21">
        <f t="shared" si="0"/>
        <v>3.4645669291338583</v>
      </c>
      <c r="D10" s="20">
        <v>8.8000000000000007</v>
      </c>
      <c r="E10" s="21">
        <f t="shared" si="1"/>
        <v>3.4645669291338583</v>
      </c>
      <c r="F10" s="22">
        <v>8.8000000000000007</v>
      </c>
      <c r="G10" s="23">
        <f t="shared" si="2"/>
        <v>3.4645669291338583</v>
      </c>
      <c r="H10" s="20">
        <v>8.8000000000000007</v>
      </c>
      <c r="I10" s="21">
        <f t="shared" si="3"/>
        <v>3.4645669291338583</v>
      </c>
      <c r="J10" s="24">
        <v>8.8000000000000007</v>
      </c>
      <c r="K10" s="21">
        <f t="shared" si="4"/>
        <v>3.4645669291338583</v>
      </c>
      <c r="L10" s="20">
        <v>8.8000000000000007</v>
      </c>
      <c r="M10" s="25">
        <f t="shared" si="5"/>
        <v>3.4645669291338583</v>
      </c>
      <c r="N10" s="20">
        <v>8.8000000000000007</v>
      </c>
      <c r="O10" s="21">
        <f t="shared" si="6"/>
        <v>3.4645669291338583</v>
      </c>
      <c r="P10" s="20">
        <v>8.8000000000000007</v>
      </c>
      <c r="Q10" s="21">
        <f t="shared" si="7"/>
        <v>3.4645669291338583</v>
      </c>
      <c r="R10" s="20">
        <v>8.8000000000000007</v>
      </c>
      <c r="S10" s="21">
        <f t="shared" si="8"/>
        <v>3.4645669291338583</v>
      </c>
      <c r="T10" s="20">
        <v>8.8000000000000007</v>
      </c>
      <c r="U10" s="21">
        <f t="shared" si="9"/>
        <v>3.4645669291338583</v>
      </c>
      <c r="V10" s="20"/>
      <c r="W10" s="26" t="s">
        <v>46</v>
      </c>
    </row>
    <row r="12" spans="1:23" ht="30">
      <c r="A12" s="14" t="s">
        <v>67</v>
      </c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23">
      <c r="A13" s="17" t="s">
        <v>35</v>
      </c>
      <c r="B13" s="18">
        <v>44</v>
      </c>
      <c r="C13" s="19"/>
      <c r="D13" s="18">
        <v>46</v>
      </c>
      <c r="E13" s="19"/>
      <c r="F13" s="18">
        <v>48</v>
      </c>
      <c r="G13" s="19"/>
      <c r="H13" s="18">
        <v>50</v>
      </c>
      <c r="I13" s="19"/>
      <c r="J13" s="18">
        <v>52</v>
      </c>
      <c r="K13" s="19"/>
      <c r="L13" s="18">
        <v>54</v>
      </c>
      <c r="M13" s="19"/>
      <c r="N13" s="18">
        <v>56</v>
      </c>
      <c r="O13" s="19"/>
      <c r="P13" s="18" t="s">
        <v>36</v>
      </c>
      <c r="Q13" s="19"/>
      <c r="R13" s="18">
        <v>58</v>
      </c>
      <c r="S13" s="19"/>
      <c r="T13" s="18">
        <v>60</v>
      </c>
      <c r="U13" s="19"/>
      <c r="V13" s="17" t="s">
        <v>37</v>
      </c>
      <c r="W13" s="17"/>
    </row>
    <row r="14" spans="1:23">
      <c r="A14" s="17" t="s">
        <v>38</v>
      </c>
      <c r="B14" s="20">
        <v>70.5</v>
      </c>
      <c r="C14" s="21">
        <f t="shared" ref="C14:C21" si="12">B14/2.54</f>
        <v>27.755905511811022</v>
      </c>
      <c r="D14" s="20">
        <v>71.5</v>
      </c>
      <c r="E14" s="21">
        <f t="shared" ref="E14:E21" si="13">D14/2.54</f>
        <v>28.149606299212596</v>
      </c>
      <c r="F14" s="22">
        <v>72.5</v>
      </c>
      <c r="G14" s="23">
        <f t="shared" ref="G14:G21" si="14">F14/2.54</f>
        <v>28.543307086614174</v>
      </c>
      <c r="H14" s="20">
        <v>73.5</v>
      </c>
      <c r="I14" s="21">
        <f t="shared" ref="I14:I21" si="15">H14/2.54</f>
        <v>28.937007874015748</v>
      </c>
      <c r="J14" s="24">
        <v>74.5</v>
      </c>
      <c r="K14" s="21">
        <f t="shared" ref="K14:K21" si="16">J14/2.54</f>
        <v>29.330708661417322</v>
      </c>
      <c r="L14" s="20">
        <v>75.5</v>
      </c>
      <c r="M14" s="25">
        <f t="shared" ref="M14:M21" si="17">L14/2.54</f>
        <v>29.724409448818896</v>
      </c>
      <c r="N14" s="20">
        <v>76.5</v>
      </c>
      <c r="O14" s="21">
        <f t="shared" ref="O14:O21" si="18">N14/2.54</f>
        <v>30.11811023622047</v>
      </c>
      <c r="P14" s="20">
        <v>76.5</v>
      </c>
      <c r="Q14" s="21">
        <f t="shared" ref="Q14:Q21" si="19">P14/2.54</f>
        <v>30.11811023622047</v>
      </c>
      <c r="R14" s="20">
        <v>77.5</v>
      </c>
      <c r="S14" s="21">
        <f t="shared" ref="S14:S21" si="20">R14/2.54</f>
        <v>30.511811023622048</v>
      </c>
      <c r="T14" s="20">
        <v>78.5</v>
      </c>
      <c r="U14" s="21">
        <f t="shared" ref="U14:U21" si="21">T14/2.54</f>
        <v>30.905511811023622</v>
      </c>
      <c r="V14" s="20">
        <f t="shared" ref="V14:V20" si="22">T14-R14</f>
        <v>1</v>
      </c>
      <c r="W14" s="26">
        <f t="shared" ref="W14:W20" si="23">V14/2.54</f>
        <v>0.39370078740157477</v>
      </c>
    </row>
    <row r="15" spans="1:23">
      <c r="A15" s="17" t="s">
        <v>39</v>
      </c>
      <c r="B15" s="20">
        <v>42</v>
      </c>
      <c r="C15" s="21">
        <f t="shared" si="12"/>
        <v>16.535433070866141</v>
      </c>
      <c r="D15" s="20">
        <v>43</v>
      </c>
      <c r="E15" s="21">
        <f t="shared" si="13"/>
        <v>16.929133858267715</v>
      </c>
      <c r="F15" s="22">
        <v>44</v>
      </c>
      <c r="G15" s="23">
        <f t="shared" si="14"/>
        <v>17.322834645669293</v>
      </c>
      <c r="H15" s="20">
        <v>45</v>
      </c>
      <c r="I15" s="21">
        <f t="shared" si="15"/>
        <v>17.716535433070867</v>
      </c>
      <c r="J15" s="24">
        <v>46</v>
      </c>
      <c r="K15" s="21">
        <f t="shared" si="16"/>
        <v>18.110236220472441</v>
      </c>
      <c r="L15" s="20">
        <v>47</v>
      </c>
      <c r="M15" s="25">
        <f t="shared" si="17"/>
        <v>18.503937007874015</v>
      </c>
      <c r="N15" s="20">
        <v>48</v>
      </c>
      <c r="O15" s="21">
        <f t="shared" si="18"/>
        <v>18.897637795275589</v>
      </c>
      <c r="P15" s="20">
        <v>49</v>
      </c>
      <c r="Q15" s="21">
        <f t="shared" si="19"/>
        <v>19.291338582677167</v>
      </c>
      <c r="R15" s="20">
        <v>50</v>
      </c>
      <c r="S15" s="21">
        <f t="shared" si="20"/>
        <v>19.685039370078741</v>
      </c>
      <c r="T15" s="20">
        <v>51</v>
      </c>
      <c r="U15" s="21">
        <f t="shared" si="21"/>
        <v>20.078740157480315</v>
      </c>
      <c r="V15" s="20">
        <f t="shared" si="22"/>
        <v>1</v>
      </c>
      <c r="W15" s="26">
        <f t="shared" si="23"/>
        <v>0.39370078740157477</v>
      </c>
    </row>
    <row r="16" spans="1:23">
      <c r="A16" s="17" t="s">
        <v>40</v>
      </c>
      <c r="B16" s="20">
        <v>98</v>
      </c>
      <c r="C16" s="21">
        <f t="shared" si="12"/>
        <v>38.582677165354333</v>
      </c>
      <c r="D16" s="20">
        <v>101</v>
      </c>
      <c r="E16" s="21">
        <f t="shared" si="13"/>
        <v>39.763779527559052</v>
      </c>
      <c r="F16" s="22">
        <v>104</v>
      </c>
      <c r="G16" s="23">
        <f t="shared" si="14"/>
        <v>40.944881889763778</v>
      </c>
      <c r="H16" s="20">
        <v>107</v>
      </c>
      <c r="I16" s="21">
        <f t="shared" si="15"/>
        <v>42.125984251968504</v>
      </c>
      <c r="J16" s="24">
        <v>110</v>
      </c>
      <c r="K16" s="21">
        <f t="shared" si="16"/>
        <v>43.30708661417323</v>
      </c>
      <c r="L16" s="20">
        <v>113</v>
      </c>
      <c r="M16" s="25">
        <f t="shared" si="17"/>
        <v>44.488188976377955</v>
      </c>
      <c r="N16" s="20">
        <v>116</v>
      </c>
      <c r="O16" s="21">
        <f t="shared" si="18"/>
        <v>45.669291338582674</v>
      </c>
      <c r="P16" s="20">
        <v>119</v>
      </c>
      <c r="Q16" s="21">
        <f t="shared" si="19"/>
        <v>46.8503937007874</v>
      </c>
      <c r="R16" s="20">
        <v>122</v>
      </c>
      <c r="S16" s="21">
        <f t="shared" si="20"/>
        <v>48.031496062992126</v>
      </c>
      <c r="T16" s="20">
        <v>125</v>
      </c>
      <c r="U16" s="21">
        <f t="shared" si="21"/>
        <v>49.212598425196852</v>
      </c>
      <c r="V16" s="20">
        <f t="shared" si="22"/>
        <v>3</v>
      </c>
      <c r="W16" s="26">
        <f t="shared" si="23"/>
        <v>1.1811023622047243</v>
      </c>
    </row>
    <row r="17" spans="1:23">
      <c r="A17" s="17" t="s">
        <v>41</v>
      </c>
      <c r="B17" s="20">
        <v>86.5</v>
      </c>
      <c r="C17" s="21">
        <f t="shared" si="12"/>
        <v>34.055118110236222</v>
      </c>
      <c r="D17" s="20">
        <v>89.5</v>
      </c>
      <c r="E17" s="21">
        <f t="shared" si="13"/>
        <v>35.236220472440941</v>
      </c>
      <c r="F17" s="22">
        <v>92.5</v>
      </c>
      <c r="G17" s="23">
        <f t="shared" si="14"/>
        <v>36.417322834645667</v>
      </c>
      <c r="H17" s="20">
        <v>95.5</v>
      </c>
      <c r="I17" s="21">
        <f t="shared" si="15"/>
        <v>37.598425196850393</v>
      </c>
      <c r="J17" s="24">
        <v>98.5</v>
      </c>
      <c r="K17" s="25">
        <f t="shared" si="16"/>
        <v>38.779527559055119</v>
      </c>
      <c r="L17" s="20">
        <v>101.5</v>
      </c>
      <c r="M17" s="27">
        <f t="shared" si="17"/>
        <v>39.960629921259844</v>
      </c>
      <c r="N17" s="20">
        <v>104.5</v>
      </c>
      <c r="O17" s="21">
        <f t="shared" si="18"/>
        <v>41.141732283464563</v>
      </c>
      <c r="P17" s="20">
        <v>107.5</v>
      </c>
      <c r="Q17" s="21">
        <f t="shared" si="19"/>
        <v>42.322834645669289</v>
      </c>
      <c r="R17" s="20">
        <v>110.5</v>
      </c>
      <c r="S17" s="21">
        <f t="shared" si="20"/>
        <v>43.503937007874015</v>
      </c>
      <c r="T17" s="20">
        <v>113.5</v>
      </c>
      <c r="U17" s="21">
        <f t="shared" si="21"/>
        <v>44.685039370078741</v>
      </c>
      <c r="V17" s="20">
        <f t="shared" si="22"/>
        <v>3</v>
      </c>
      <c r="W17" s="26">
        <f t="shared" si="23"/>
        <v>1.1811023622047243</v>
      </c>
    </row>
    <row r="18" spans="1:23">
      <c r="A18" s="17" t="s">
        <v>42</v>
      </c>
      <c r="B18" s="20">
        <v>59.5</v>
      </c>
      <c r="C18" s="21">
        <f t="shared" si="12"/>
        <v>23.4251968503937</v>
      </c>
      <c r="D18" s="20">
        <v>60.5</v>
      </c>
      <c r="E18" s="21">
        <f t="shared" si="13"/>
        <v>23.818897637795274</v>
      </c>
      <c r="F18" s="22">
        <v>61.5</v>
      </c>
      <c r="G18" s="23">
        <f t="shared" si="14"/>
        <v>24.212598425196852</v>
      </c>
      <c r="H18" s="20">
        <v>62.5</v>
      </c>
      <c r="I18" s="21">
        <f t="shared" si="15"/>
        <v>24.606299212598426</v>
      </c>
      <c r="J18" s="24">
        <v>63.5</v>
      </c>
      <c r="K18" s="21">
        <f t="shared" si="16"/>
        <v>25</v>
      </c>
      <c r="L18" s="20">
        <v>64.5</v>
      </c>
      <c r="M18" s="25">
        <f t="shared" si="17"/>
        <v>25.393700787401574</v>
      </c>
      <c r="N18" s="20">
        <v>65.5</v>
      </c>
      <c r="O18" s="21">
        <f t="shared" si="18"/>
        <v>25.787401574803148</v>
      </c>
      <c r="P18" s="20">
        <v>65.5</v>
      </c>
      <c r="Q18" s="21">
        <f t="shared" si="19"/>
        <v>25.787401574803148</v>
      </c>
      <c r="R18" s="20">
        <v>66.5</v>
      </c>
      <c r="S18" s="21">
        <f t="shared" si="20"/>
        <v>26.181102362204722</v>
      </c>
      <c r="T18" s="20">
        <v>67.5</v>
      </c>
      <c r="U18" s="21">
        <f t="shared" si="21"/>
        <v>26.5748031496063</v>
      </c>
      <c r="V18" s="20">
        <f t="shared" si="22"/>
        <v>1</v>
      </c>
      <c r="W18" s="26">
        <f t="shared" si="23"/>
        <v>0.39370078740157477</v>
      </c>
    </row>
    <row r="19" spans="1:23">
      <c r="A19" s="17" t="s">
        <v>43</v>
      </c>
      <c r="B19" s="20">
        <v>37.9</v>
      </c>
      <c r="C19" s="21">
        <f t="shared" si="12"/>
        <v>14.921259842519683</v>
      </c>
      <c r="D19" s="20">
        <v>38.700000000000003</v>
      </c>
      <c r="E19" s="21">
        <f t="shared" si="13"/>
        <v>15.236220472440946</v>
      </c>
      <c r="F19" s="22">
        <v>39.5</v>
      </c>
      <c r="G19" s="23">
        <f t="shared" si="14"/>
        <v>15.551181102362204</v>
      </c>
      <c r="H19" s="20">
        <v>40.299999999999997</v>
      </c>
      <c r="I19" s="21">
        <f t="shared" si="15"/>
        <v>15.866141732283463</v>
      </c>
      <c r="J19" s="24">
        <v>41.1</v>
      </c>
      <c r="K19" s="21">
        <f t="shared" si="16"/>
        <v>16.181102362204726</v>
      </c>
      <c r="L19" s="20">
        <v>41.9</v>
      </c>
      <c r="M19" s="25">
        <f t="shared" si="17"/>
        <v>16.496062992125985</v>
      </c>
      <c r="N19" s="20">
        <v>42.7</v>
      </c>
      <c r="O19" s="21">
        <f t="shared" si="18"/>
        <v>16.811023622047244</v>
      </c>
      <c r="P19" s="20">
        <v>43.5</v>
      </c>
      <c r="Q19" s="21">
        <f t="shared" si="19"/>
        <v>17.125984251968504</v>
      </c>
      <c r="R19" s="20">
        <v>44.3</v>
      </c>
      <c r="S19" s="21">
        <f t="shared" si="20"/>
        <v>17.440944881889763</v>
      </c>
      <c r="T19" s="20">
        <v>45.1</v>
      </c>
      <c r="U19" s="21">
        <f t="shared" si="21"/>
        <v>17.755905511811022</v>
      </c>
      <c r="V19" s="20">
        <f t="shared" si="22"/>
        <v>0.80000000000000426</v>
      </c>
      <c r="W19" s="26">
        <f t="shared" si="23"/>
        <v>0.3149606299212615</v>
      </c>
    </row>
    <row r="20" spans="1:23">
      <c r="A20" s="17" t="s">
        <v>44</v>
      </c>
      <c r="B20" s="20">
        <v>13.4</v>
      </c>
      <c r="C20" s="21">
        <f t="shared" si="12"/>
        <v>5.2755905511811028</v>
      </c>
      <c r="D20" s="20">
        <v>13.65</v>
      </c>
      <c r="E20" s="21">
        <f t="shared" si="13"/>
        <v>5.3740157480314963</v>
      </c>
      <c r="F20" s="22">
        <v>13.9</v>
      </c>
      <c r="G20" s="23">
        <f t="shared" si="14"/>
        <v>5.4724409448818898</v>
      </c>
      <c r="H20" s="20">
        <v>14.15</v>
      </c>
      <c r="I20" s="28">
        <f t="shared" si="15"/>
        <v>5.5708661417322833</v>
      </c>
      <c r="J20" s="24">
        <v>14.4</v>
      </c>
      <c r="K20" s="21">
        <f t="shared" si="16"/>
        <v>5.6692913385826769</v>
      </c>
      <c r="L20" s="20">
        <v>14.65</v>
      </c>
      <c r="M20" s="25">
        <f t="shared" si="17"/>
        <v>5.7677165354330713</v>
      </c>
      <c r="N20" s="20">
        <v>14.9</v>
      </c>
      <c r="O20" s="21">
        <f t="shared" si="18"/>
        <v>5.8661417322834648</v>
      </c>
      <c r="P20" s="20">
        <v>15.15</v>
      </c>
      <c r="Q20" s="21">
        <f t="shared" si="19"/>
        <v>5.9645669291338583</v>
      </c>
      <c r="R20" s="20">
        <v>15.4</v>
      </c>
      <c r="S20" s="21">
        <f t="shared" si="20"/>
        <v>6.0629921259842519</v>
      </c>
      <c r="T20" s="20">
        <v>15.65</v>
      </c>
      <c r="U20" s="21">
        <f t="shared" si="21"/>
        <v>6.1614173228346454</v>
      </c>
      <c r="V20" s="20">
        <f t="shared" si="22"/>
        <v>0.25</v>
      </c>
      <c r="W20" s="26">
        <f t="shared" si="23"/>
        <v>9.8425196850393692E-2</v>
      </c>
    </row>
    <row r="21" spans="1:23">
      <c r="A21" s="17" t="s">
        <v>45</v>
      </c>
      <c r="B21" s="20">
        <v>8.8000000000000007</v>
      </c>
      <c r="C21" s="21">
        <f t="shared" si="12"/>
        <v>3.4645669291338583</v>
      </c>
      <c r="D21" s="20">
        <v>8.8000000000000007</v>
      </c>
      <c r="E21" s="21">
        <f t="shared" si="13"/>
        <v>3.4645669291338583</v>
      </c>
      <c r="F21" s="22">
        <v>8.8000000000000007</v>
      </c>
      <c r="G21" s="23">
        <f t="shared" si="14"/>
        <v>3.4645669291338583</v>
      </c>
      <c r="H21" s="20">
        <v>8.8000000000000007</v>
      </c>
      <c r="I21" s="21">
        <f t="shared" si="15"/>
        <v>3.4645669291338583</v>
      </c>
      <c r="J21" s="24">
        <v>8.8000000000000007</v>
      </c>
      <c r="K21" s="21">
        <f t="shared" si="16"/>
        <v>3.4645669291338583</v>
      </c>
      <c r="L21" s="20">
        <v>8.8000000000000007</v>
      </c>
      <c r="M21" s="25">
        <f t="shared" si="17"/>
        <v>3.4645669291338583</v>
      </c>
      <c r="N21" s="20">
        <v>8.8000000000000007</v>
      </c>
      <c r="O21" s="21">
        <f t="shared" si="18"/>
        <v>3.4645669291338583</v>
      </c>
      <c r="P21" s="20">
        <v>8.8000000000000007</v>
      </c>
      <c r="Q21" s="21">
        <f t="shared" si="19"/>
        <v>3.4645669291338583</v>
      </c>
      <c r="R21" s="20">
        <v>8.8000000000000007</v>
      </c>
      <c r="S21" s="21">
        <f t="shared" si="20"/>
        <v>3.4645669291338583</v>
      </c>
      <c r="T21" s="20">
        <v>8.8000000000000007</v>
      </c>
      <c r="U21" s="21">
        <f t="shared" si="21"/>
        <v>3.4645669291338583</v>
      </c>
      <c r="V21" s="20"/>
      <c r="W21" s="26" t="s">
        <v>46</v>
      </c>
    </row>
    <row r="22" spans="1:23" ht="30">
      <c r="A22" s="29" t="s">
        <v>47</v>
      </c>
      <c r="B22" s="30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23">
      <c r="A23" s="17" t="s">
        <v>35</v>
      </c>
      <c r="B23" s="18">
        <v>44</v>
      </c>
      <c r="C23" s="19"/>
      <c r="D23" s="18">
        <v>46</v>
      </c>
      <c r="E23" s="19"/>
      <c r="F23" s="31">
        <v>48</v>
      </c>
      <c r="G23" s="32"/>
      <c r="H23" s="18">
        <v>50</v>
      </c>
      <c r="I23" s="19"/>
      <c r="J23" s="18">
        <v>52</v>
      </c>
      <c r="K23" s="19"/>
      <c r="L23" s="18">
        <v>54</v>
      </c>
      <c r="M23" s="19"/>
      <c r="N23" s="18">
        <v>56</v>
      </c>
      <c r="O23" s="19"/>
      <c r="P23" s="18">
        <v>58</v>
      </c>
      <c r="Q23" s="19"/>
      <c r="R23" s="18">
        <v>60</v>
      </c>
      <c r="S23" s="19"/>
      <c r="T23" s="18">
        <v>62</v>
      </c>
      <c r="U23" s="19"/>
    </row>
    <row r="24" spans="1:23">
      <c r="A24" s="17" t="s">
        <v>38</v>
      </c>
      <c r="B24" s="20">
        <v>70</v>
      </c>
      <c r="C24" s="26">
        <f>B24/2.54</f>
        <v>27.559055118110237</v>
      </c>
      <c r="D24" s="20">
        <v>71</v>
      </c>
      <c r="E24" s="26">
        <f>D24/2.54</f>
        <v>27.952755905511811</v>
      </c>
      <c r="F24" s="22">
        <v>72</v>
      </c>
      <c r="G24" s="26">
        <f>F24/2.54</f>
        <v>28.346456692913385</v>
      </c>
      <c r="H24" s="20">
        <v>73</v>
      </c>
      <c r="I24" s="26">
        <f>H24/2.54</f>
        <v>28.740157480314959</v>
      </c>
      <c r="J24" s="24">
        <v>74</v>
      </c>
      <c r="K24" s="26">
        <f>J24/2.54</f>
        <v>29.133858267716533</v>
      </c>
      <c r="L24" s="20">
        <v>75</v>
      </c>
      <c r="M24" s="26">
        <f>L24/2.54</f>
        <v>29.527559055118111</v>
      </c>
      <c r="N24" s="20">
        <v>76</v>
      </c>
      <c r="O24" s="26">
        <f>N24/2.54</f>
        <v>29.921259842519685</v>
      </c>
      <c r="P24" s="20">
        <v>77</v>
      </c>
      <c r="Q24" s="26">
        <f>P24/2.54</f>
        <v>30.314960629921259</v>
      </c>
      <c r="R24" s="20">
        <v>78</v>
      </c>
      <c r="S24" s="26">
        <f>R24/2.54</f>
        <v>30.708661417322833</v>
      </c>
      <c r="T24" s="20">
        <v>79</v>
      </c>
      <c r="U24" s="26">
        <f>T24/2.54</f>
        <v>31.102362204724407</v>
      </c>
    </row>
    <row r="25" spans="1:23">
      <c r="A25" s="17" t="s">
        <v>39</v>
      </c>
      <c r="B25" s="20">
        <v>43.5</v>
      </c>
      <c r="C25" s="26">
        <f t="shared" ref="C25:C31" si="24">B25/2.54</f>
        <v>17.125984251968504</v>
      </c>
      <c r="D25" s="20">
        <v>44.5</v>
      </c>
      <c r="E25" s="26">
        <f>D25/2.54</f>
        <v>17.519685039370078</v>
      </c>
      <c r="F25" s="22">
        <v>45.5</v>
      </c>
      <c r="G25" s="26">
        <f t="shared" ref="G25:G31" si="25">F25/2.54</f>
        <v>17.913385826771652</v>
      </c>
      <c r="H25" s="20">
        <v>46.5</v>
      </c>
      <c r="I25" s="26">
        <f t="shared" ref="I25:I31" si="26">H25/2.54</f>
        <v>18.30708661417323</v>
      </c>
      <c r="J25" s="24">
        <v>47.5</v>
      </c>
      <c r="K25" s="26">
        <f t="shared" ref="K25:K31" si="27">J25/2.54</f>
        <v>18.700787401574804</v>
      </c>
      <c r="L25" s="20">
        <v>48.5</v>
      </c>
      <c r="M25" s="26">
        <f t="shared" ref="M25:M31" si="28">L25/2.54</f>
        <v>19.094488188976378</v>
      </c>
      <c r="N25" s="20">
        <v>49.5</v>
      </c>
      <c r="O25" s="26">
        <f t="shared" ref="O25:O31" si="29">N25/2.54</f>
        <v>19.488188976377952</v>
      </c>
      <c r="P25" s="20">
        <v>50.5</v>
      </c>
      <c r="Q25" s="26">
        <f t="shared" ref="Q25:Q31" si="30">P25/2.54</f>
        <v>19.881889763779526</v>
      </c>
      <c r="R25" s="20">
        <v>51.5</v>
      </c>
      <c r="S25" s="26">
        <f>R25/2.54</f>
        <v>20.275590551181104</v>
      </c>
      <c r="T25" s="20">
        <v>52.5</v>
      </c>
      <c r="U25" s="26">
        <f t="shared" ref="U25:U31" si="31">T25/2.54</f>
        <v>20.669291338582678</v>
      </c>
    </row>
    <row r="26" spans="1:23">
      <c r="A26" s="17" t="s">
        <v>40</v>
      </c>
      <c r="B26" s="20">
        <v>97</v>
      </c>
      <c r="C26" s="26">
        <f t="shared" si="24"/>
        <v>38.188976377952756</v>
      </c>
      <c r="D26" s="20">
        <v>100</v>
      </c>
      <c r="E26" s="26">
        <f t="shared" ref="E26:E31" si="32">D26/2.54</f>
        <v>39.370078740157481</v>
      </c>
      <c r="F26" s="22">
        <v>103</v>
      </c>
      <c r="G26" s="26">
        <f t="shared" si="25"/>
        <v>40.551181102362207</v>
      </c>
      <c r="H26" s="20">
        <v>106</v>
      </c>
      <c r="I26" s="26">
        <f t="shared" si="26"/>
        <v>41.732283464566926</v>
      </c>
      <c r="J26" s="24">
        <v>109</v>
      </c>
      <c r="K26" s="26">
        <f t="shared" si="27"/>
        <v>42.913385826771652</v>
      </c>
      <c r="L26" s="20">
        <v>112</v>
      </c>
      <c r="M26" s="26">
        <f t="shared" si="28"/>
        <v>44.094488188976378</v>
      </c>
      <c r="N26" s="20">
        <v>115</v>
      </c>
      <c r="O26" s="26">
        <f t="shared" si="29"/>
        <v>45.275590551181104</v>
      </c>
      <c r="P26" s="20">
        <v>118</v>
      </c>
      <c r="Q26" s="26">
        <f t="shared" si="30"/>
        <v>46.45669291338583</v>
      </c>
      <c r="R26" s="20">
        <v>121</v>
      </c>
      <c r="S26" s="26">
        <f t="shared" ref="S26:S31" si="33">R26/2.54</f>
        <v>47.637795275590548</v>
      </c>
      <c r="T26" s="20">
        <v>124</v>
      </c>
      <c r="U26" s="26">
        <f t="shared" si="31"/>
        <v>48.818897637795274</v>
      </c>
    </row>
    <row r="27" spans="1:23">
      <c r="A27" s="17" t="s">
        <v>41</v>
      </c>
      <c r="B27" s="20">
        <v>86</v>
      </c>
      <c r="C27" s="26">
        <f t="shared" si="24"/>
        <v>33.85826771653543</v>
      </c>
      <c r="D27" s="20">
        <v>89</v>
      </c>
      <c r="E27" s="26">
        <f t="shared" si="32"/>
        <v>35.039370078740156</v>
      </c>
      <c r="F27" s="22">
        <v>92</v>
      </c>
      <c r="G27" s="26">
        <f t="shared" si="25"/>
        <v>36.220472440944881</v>
      </c>
      <c r="H27" s="20">
        <v>95</v>
      </c>
      <c r="I27" s="26">
        <f t="shared" si="26"/>
        <v>37.401574803149607</v>
      </c>
      <c r="J27" s="24">
        <v>98</v>
      </c>
      <c r="K27" s="26">
        <f t="shared" si="27"/>
        <v>38.582677165354333</v>
      </c>
      <c r="L27" s="20">
        <v>101</v>
      </c>
      <c r="M27" s="26">
        <f t="shared" si="28"/>
        <v>39.763779527559052</v>
      </c>
      <c r="N27" s="20">
        <v>104</v>
      </c>
      <c r="O27" s="26">
        <f t="shared" si="29"/>
        <v>40.944881889763778</v>
      </c>
      <c r="P27" s="20">
        <v>107</v>
      </c>
      <c r="Q27" s="26">
        <f t="shared" si="30"/>
        <v>42.125984251968504</v>
      </c>
      <c r="R27" s="20">
        <v>110</v>
      </c>
      <c r="S27" s="26">
        <f t="shared" si="33"/>
        <v>43.30708661417323</v>
      </c>
      <c r="T27" s="20">
        <v>113</v>
      </c>
      <c r="U27" s="26">
        <f t="shared" si="31"/>
        <v>44.488188976377955</v>
      </c>
    </row>
    <row r="28" spans="1:23">
      <c r="A28" s="17" t="s">
        <v>42</v>
      </c>
      <c r="B28" s="20">
        <v>60</v>
      </c>
      <c r="C28" s="26">
        <f t="shared" si="24"/>
        <v>23.622047244094489</v>
      </c>
      <c r="D28" s="20">
        <v>61</v>
      </c>
      <c r="E28" s="26">
        <f t="shared" si="32"/>
        <v>24.015748031496063</v>
      </c>
      <c r="F28" s="22">
        <v>62</v>
      </c>
      <c r="G28" s="26">
        <f t="shared" si="25"/>
        <v>24.409448818897637</v>
      </c>
      <c r="H28" s="20">
        <v>63</v>
      </c>
      <c r="I28" s="26">
        <f t="shared" si="26"/>
        <v>24.803149606299211</v>
      </c>
      <c r="J28" s="24">
        <v>64</v>
      </c>
      <c r="K28" s="26">
        <f t="shared" si="27"/>
        <v>25.196850393700785</v>
      </c>
      <c r="L28" s="20">
        <v>65</v>
      </c>
      <c r="M28" s="26">
        <f t="shared" si="28"/>
        <v>25.590551181102363</v>
      </c>
      <c r="N28" s="20">
        <v>66</v>
      </c>
      <c r="O28" s="26">
        <f t="shared" si="29"/>
        <v>25.984251968503937</v>
      </c>
      <c r="P28" s="20">
        <v>67</v>
      </c>
      <c r="Q28" s="26">
        <f t="shared" si="30"/>
        <v>26.377952755905511</v>
      </c>
      <c r="R28" s="20">
        <v>68</v>
      </c>
      <c r="S28" s="26">
        <f t="shared" si="33"/>
        <v>26.771653543307085</v>
      </c>
      <c r="T28" s="20">
        <v>69</v>
      </c>
      <c r="U28" s="26">
        <f t="shared" si="31"/>
        <v>27.165354330708659</v>
      </c>
    </row>
    <row r="29" spans="1:23">
      <c r="A29" s="17" t="s">
        <v>43</v>
      </c>
      <c r="B29" s="20">
        <v>39.200000000000003</v>
      </c>
      <c r="C29" s="26">
        <f t="shared" si="24"/>
        <v>15.433070866141733</v>
      </c>
      <c r="D29" s="20">
        <v>40</v>
      </c>
      <c r="E29" s="26">
        <f t="shared" si="32"/>
        <v>15.748031496062993</v>
      </c>
      <c r="F29" s="22">
        <v>40.799999999999997</v>
      </c>
      <c r="G29" s="26">
        <f t="shared" si="25"/>
        <v>16.062992125984252</v>
      </c>
      <c r="H29" s="20">
        <v>41.6</v>
      </c>
      <c r="I29" s="26">
        <f t="shared" si="26"/>
        <v>16.377952755905511</v>
      </c>
      <c r="J29" s="24">
        <v>42.4</v>
      </c>
      <c r="K29" s="26">
        <f t="shared" si="27"/>
        <v>16.69291338582677</v>
      </c>
      <c r="L29" s="20">
        <v>43.2</v>
      </c>
      <c r="M29" s="26">
        <f t="shared" si="28"/>
        <v>17.007874015748033</v>
      </c>
      <c r="N29" s="20">
        <v>44</v>
      </c>
      <c r="O29" s="26">
        <f t="shared" si="29"/>
        <v>17.322834645669293</v>
      </c>
      <c r="P29" s="20">
        <v>44.8</v>
      </c>
      <c r="Q29" s="26">
        <f t="shared" si="30"/>
        <v>17.637795275590548</v>
      </c>
      <c r="R29" s="20">
        <v>45.6</v>
      </c>
      <c r="S29" s="26">
        <f t="shared" si="33"/>
        <v>17.952755905511811</v>
      </c>
      <c r="T29" s="20">
        <v>46.4</v>
      </c>
      <c r="U29" s="26">
        <f t="shared" si="31"/>
        <v>18.26771653543307</v>
      </c>
    </row>
    <row r="30" spans="1:23">
      <c r="A30" s="17" t="s">
        <v>44</v>
      </c>
      <c r="B30" s="20">
        <v>13.7</v>
      </c>
      <c r="C30" s="26">
        <f t="shared" si="24"/>
        <v>5.3937007874015741</v>
      </c>
      <c r="D30" s="20">
        <v>13.9</v>
      </c>
      <c r="E30" s="26">
        <f t="shared" si="32"/>
        <v>5.4724409448818898</v>
      </c>
      <c r="F30" s="22">
        <v>14.1</v>
      </c>
      <c r="G30" s="26">
        <f t="shared" si="25"/>
        <v>5.5511811023622046</v>
      </c>
      <c r="H30" s="20">
        <v>14.3</v>
      </c>
      <c r="I30" s="26">
        <f t="shared" si="26"/>
        <v>5.6299212598425195</v>
      </c>
      <c r="J30" s="24">
        <v>14.5</v>
      </c>
      <c r="K30" s="26">
        <f t="shared" si="27"/>
        <v>5.7086614173228343</v>
      </c>
      <c r="L30" s="20">
        <v>14.7</v>
      </c>
      <c r="M30" s="26">
        <f t="shared" si="28"/>
        <v>5.7874015748031491</v>
      </c>
      <c r="N30" s="20">
        <v>14.9</v>
      </c>
      <c r="O30" s="26">
        <f t="shared" si="29"/>
        <v>5.8661417322834648</v>
      </c>
      <c r="P30" s="20">
        <v>15.1</v>
      </c>
      <c r="Q30" s="26">
        <f t="shared" si="30"/>
        <v>5.9448818897637796</v>
      </c>
      <c r="R30" s="20">
        <v>15.3</v>
      </c>
      <c r="S30" s="26">
        <f t="shared" si="33"/>
        <v>6.0236220472440944</v>
      </c>
      <c r="T30" s="20">
        <v>15.5</v>
      </c>
      <c r="U30" s="26">
        <f t="shared" si="31"/>
        <v>6.1023622047244093</v>
      </c>
    </row>
    <row r="31" spans="1:23">
      <c r="A31" s="17" t="s">
        <v>45</v>
      </c>
      <c r="B31" s="20">
        <v>8.8000000000000007</v>
      </c>
      <c r="C31" s="26">
        <f t="shared" si="24"/>
        <v>3.4645669291338583</v>
      </c>
      <c r="D31" s="20">
        <v>9</v>
      </c>
      <c r="E31" s="26">
        <f t="shared" si="32"/>
        <v>3.5433070866141732</v>
      </c>
      <c r="F31" s="22">
        <v>8.8000000000000007</v>
      </c>
      <c r="G31" s="26">
        <f t="shared" si="25"/>
        <v>3.4645669291338583</v>
      </c>
      <c r="H31" s="20">
        <v>8.8000000000000007</v>
      </c>
      <c r="I31" s="26">
        <f t="shared" si="26"/>
        <v>3.4645669291338583</v>
      </c>
      <c r="J31" s="24">
        <v>8.8000000000000007</v>
      </c>
      <c r="K31" s="26">
        <f t="shared" si="27"/>
        <v>3.4645669291338583</v>
      </c>
      <c r="L31" s="20">
        <v>8.8000000000000007</v>
      </c>
      <c r="M31" s="26">
        <f t="shared" si="28"/>
        <v>3.4645669291338583</v>
      </c>
      <c r="N31" s="20">
        <v>8.8000000000000007</v>
      </c>
      <c r="O31" s="26">
        <f t="shared" si="29"/>
        <v>3.4645669291338583</v>
      </c>
      <c r="P31" s="20">
        <v>8.8000000000000007</v>
      </c>
      <c r="Q31" s="26">
        <f t="shared" si="30"/>
        <v>3.4645669291338583</v>
      </c>
      <c r="R31" s="20">
        <v>8</v>
      </c>
      <c r="S31" s="26">
        <f t="shared" si="33"/>
        <v>3.1496062992125982</v>
      </c>
      <c r="T31" s="20">
        <v>8.8000000000000007</v>
      </c>
      <c r="U31" s="26">
        <f t="shared" si="31"/>
        <v>3.4645669291338583</v>
      </c>
    </row>
    <row r="33" spans="1:27" ht="31" thickBot="1">
      <c r="A33" s="33" t="s">
        <v>48</v>
      </c>
      <c r="B33" s="3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>
      <c r="A34" s="17" t="s">
        <v>49</v>
      </c>
      <c r="B34" s="18">
        <v>42</v>
      </c>
      <c r="C34" s="19"/>
      <c r="D34" s="18">
        <v>44</v>
      </c>
      <c r="E34" s="19"/>
      <c r="F34" s="18">
        <v>46</v>
      </c>
      <c r="G34" s="35"/>
      <c r="H34" s="36">
        <v>48</v>
      </c>
      <c r="I34" s="37"/>
      <c r="J34" s="38">
        <v>50</v>
      </c>
      <c r="K34" s="19"/>
      <c r="L34" s="18">
        <v>52</v>
      </c>
      <c r="M34" s="19"/>
      <c r="N34" s="18">
        <v>54</v>
      </c>
      <c r="O34" s="19"/>
      <c r="P34" s="18">
        <v>56</v>
      </c>
      <c r="Q34" s="19"/>
      <c r="R34" s="18">
        <v>58</v>
      </c>
      <c r="S34" s="19"/>
      <c r="T34" s="18">
        <v>60</v>
      </c>
      <c r="U34" s="19"/>
      <c r="V34" s="18">
        <v>62</v>
      </c>
      <c r="W34" s="19"/>
      <c r="X34" s="18">
        <v>64</v>
      </c>
      <c r="Y34" s="19"/>
      <c r="Z34" s="17" t="s">
        <v>37</v>
      </c>
      <c r="AA34" s="17"/>
    </row>
    <row r="35" spans="1:27">
      <c r="A35" s="17" t="s">
        <v>50</v>
      </c>
      <c r="B35" s="39">
        <v>69</v>
      </c>
      <c r="C35" s="26">
        <f>B35/2.54</f>
        <v>27.165354330708659</v>
      </c>
      <c r="D35" s="39">
        <v>70</v>
      </c>
      <c r="E35" s="26">
        <f>D35/2.54</f>
        <v>27.559055118110237</v>
      </c>
      <c r="F35" s="39">
        <v>71</v>
      </c>
      <c r="G35" s="40">
        <f t="shared" ref="G35:G42" si="34">F35/2.54</f>
        <v>27.952755905511811</v>
      </c>
      <c r="H35" s="41">
        <v>72</v>
      </c>
      <c r="I35" s="42">
        <f t="shared" ref="I35:I42" si="35">H35/2.54</f>
        <v>28.346456692913385</v>
      </c>
      <c r="J35" s="43">
        <v>73</v>
      </c>
      <c r="K35" s="26">
        <f t="shared" ref="K35:K42" si="36">J35/2.54</f>
        <v>28.740157480314959</v>
      </c>
      <c r="L35" s="39">
        <v>74</v>
      </c>
      <c r="M35" s="26">
        <f t="shared" ref="M35:M42" si="37">L35/2.54</f>
        <v>29.133858267716533</v>
      </c>
      <c r="N35" s="39">
        <v>75</v>
      </c>
      <c r="O35" s="26">
        <f t="shared" ref="O35:O42" si="38">N35/2.54</f>
        <v>29.527559055118111</v>
      </c>
      <c r="P35" s="39">
        <v>76</v>
      </c>
      <c r="Q35" s="26">
        <f t="shared" ref="Q35:Q42" si="39">P35/2.54</f>
        <v>29.921259842519685</v>
      </c>
      <c r="R35" s="39">
        <v>77</v>
      </c>
      <c r="S35" s="26">
        <f t="shared" ref="S35:S42" si="40">R35/2.54</f>
        <v>30.314960629921259</v>
      </c>
      <c r="T35" s="39">
        <v>78</v>
      </c>
      <c r="U35" s="26">
        <f t="shared" ref="U35:U42" si="41">T35/2.54</f>
        <v>30.708661417322833</v>
      </c>
      <c r="V35" s="39">
        <v>79</v>
      </c>
      <c r="W35" s="26">
        <f t="shared" ref="W35:W42" si="42">V35/2.54</f>
        <v>31.102362204724407</v>
      </c>
      <c r="X35" s="39">
        <v>80</v>
      </c>
      <c r="Y35" s="26">
        <f t="shared" ref="Y35:Y42" si="43">X35/2.54</f>
        <v>31.496062992125985</v>
      </c>
      <c r="Z35" s="44">
        <v>1</v>
      </c>
      <c r="AA35" s="26">
        <f t="shared" ref="AA35:AA41" si="44">Z35/2.54</f>
        <v>0.39370078740157477</v>
      </c>
    </row>
    <row r="36" spans="1:27">
      <c r="A36" s="17" t="s">
        <v>51</v>
      </c>
      <c r="B36" s="39">
        <v>44</v>
      </c>
      <c r="C36" s="26">
        <f t="shared" ref="C36:E42" si="45">B36/2.54</f>
        <v>17.322834645669293</v>
      </c>
      <c r="D36" s="39">
        <v>45</v>
      </c>
      <c r="E36" s="26">
        <f t="shared" si="45"/>
        <v>17.716535433070867</v>
      </c>
      <c r="F36" s="39">
        <v>46</v>
      </c>
      <c r="G36" s="40">
        <f t="shared" si="34"/>
        <v>18.110236220472441</v>
      </c>
      <c r="H36" s="41">
        <v>47</v>
      </c>
      <c r="I36" s="42">
        <f t="shared" si="35"/>
        <v>18.503937007874015</v>
      </c>
      <c r="J36" s="43">
        <v>48</v>
      </c>
      <c r="K36" s="26">
        <f t="shared" si="36"/>
        <v>18.897637795275589</v>
      </c>
      <c r="L36" s="39">
        <v>49</v>
      </c>
      <c r="M36" s="26">
        <f t="shared" si="37"/>
        <v>19.291338582677167</v>
      </c>
      <c r="N36" s="39">
        <v>50</v>
      </c>
      <c r="O36" s="26">
        <f t="shared" si="38"/>
        <v>19.685039370078741</v>
      </c>
      <c r="P36" s="39">
        <v>51</v>
      </c>
      <c r="Q36" s="26">
        <f t="shared" si="39"/>
        <v>20.078740157480315</v>
      </c>
      <c r="R36" s="39">
        <v>52</v>
      </c>
      <c r="S36" s="26">
        <f t="shared" si="40"/>
        <v>20.472440944881889</v>
      </c>
      <c r="T36" s="39">
        <v>53</v>
      </c>
      <c r="U36" s="26">
        <f t="shared" si="41"/>
        <v>20.866141732283463</v>
      </c>
      <c r="V36" s="39">
        <v>54</v>
      </c>
      <c r="W36" s="26">
        <f t="shared" si="42"/>
        <v>21.259842519685041</v>
      </c>
      <c r="X36" s="39">
        <v>55</v>
      </c>
      <c r="Y36" s="26">
        <f t="shared" si="43"/>
        <v>21.653543307086615</v>
      </c>
      <c r="Z36" s="44">
        <v>1</v>
      </c>
      <c r="AA36" s="26">
        <f t="shared" si="44"/>
        <v>0.39370078740157477</v>
      </c>
    </row>
    <row r="37" spans="1:27">
      <c r="A37" s="17" t="s">
        <v>52</v>
      </c>
      <c r="B37" s="39">
        <v>102</v>
      </c>
      <c r="C37" s="26">
        <f t="shared" si="45"/>
        <v>40.15748031496063</v>
      </c>
      <c r="D37" s="39">
        <v>105</v>
      </c>
      <c r="E37" s="26">
        <f t="shared" si="45"/>
        <v>41.338582677165356</v>
      </c>
      <c r="F37" s="39">
        <v>108</v>
      </c>
      <c r="G37" s="40">
        <f t="shared" si="34"/>
        <v>42.519685039370081</v>
      </c>
      <c r="H37" s="41">
        <v>111</v>
      </c>
      <c r="I37" s="42">
        <f t="shared" si="35"/>
        <v>43.7007874015748</v>
      </c>
      <c r="J37" s="43">
        <v>114</v>
      </c>
      <c r="K37" s="26">
        <f t="shared" si="36"/>
        <v>44.881889763779526</v>
      </c>
      <c r="L37" s="39">
        <v>117</v>
      </c>
      <c r="M37" s="26">
        <f t="shared" si="37"/>
        <v>46.062992125984252</v>
      </c>
      <c r="N37" s="39">
        <v>120</v>
      </c>
      <c r="O37" s="26">
        <f t="shared" si="38"/>
        <v>47.244094488188978</v>
      </c>
      <c r="P37" s="39">
        <v>123</v>
      </c>
      <c r="Q37" s="26">
        <f t="shared" si="39"/>
        <v>48.425196850393704</v>
      </c>
      <c r="R37" s="39">
        <v>126</v>
      </c>
      <c r="S37" s="26">
        <f t="shared" si="40"/>
        <v>49.606299212598422</v>
      </c>
      <c r="T37" s="39">
        <v>129</v>
      </c>
      <c r="U37" s="26">
        <f t="shared" si="41"/>
        <v>50.787401574803148</v>
      </c>
      <c r="V37" s="39">
        <v>131</v>
      </c>
      <c r="W37" s="26">
        <f t="shared" si="42"/>
        <v>51.574803149606296</v>
      </c>
      <c r="X37" s="39">
        <v>134</v>
      </c>
      <c r="Y37" s="26">
        <f t="shared" si="43"/>
        <v>52.755905511811022</v>
      </c>
      <c r="Z37" s="44">
        <v>3</v>
      </c>
      <c r="AA37" s="26">
        <f t="shared" si="44"/>
        <v>1.1811023622047243</v>
      </c>
    </row>
    <row r="38" spans="1:27">
      <c r="A38" s="17" t="s">
        <v>53</v>
      </c>
      <c r="B38" s="39">
        <v>92</v>
      </c>
      <c r="C38" s="26">
        <f t="shared" si="45"/>
        <v>36.220472440944881</v>
      </c>
      <c r="D38" s="39">
        <v>95</v>
      </c>
      <c r="E38" s="26">
        <f t="shared" si="45"/>
        <v>37.401574803149607</v>
      </c>
      <c r="F38" s="39">
        <v>98</v>
      </c>
      <c r="G38" s="40">
        <f t="shared" si="34"/>
        <v>38.582677165354333</v>
      </c>
      <c r="H38" s="41">
        <v>101</v>
      </c>
      <c r="I38" s="42">
        <f t="shared" si="35"/>
        <v>39.763779527559052</v>
      </c>
      <c r="J38" s="43">
        <v>104</v>
      </c>
      <c r="K38" s="26">
        <f t="shared" si="36"/>
        <v>40.944881889763778</v>
      </c>
      <c r="L38" s="39">
        <v>107</v>
      </c>
      <c r="M38" s="26">
        <f t="shared" si="37"/>
        <v>42.125984251968504</v>
      </c>
      <c r="N38" s="39">
        <v>110</v>
      </c>
      <c r="O38" s="26">
        <f t="shared" si="38"/>
        <v>43.30708661417323</v>
      </c>
      <c r="P38" s="39">
        <v>113</v>
      </c>
      <c r="Q38" s="26">
        <f t="shared" si="39"/>
        <v>44.488188976377955</v>
      </c>
      <c r="R38" s="39">
        <v>116</v>
      </c>
      <c r="S38" s="26">
        <f t="shared" si="40"/>
        <v>45.669291338582674</v>
      </c>
      <c r="T38" s="39">
        <v>119</v>
      </c>
      <c r="U38" s="26">
        <f t="shared" si="41"/>
        <v>46.8503937007874</v>
      </c>
      <c r="V38" s="39">
        <v>122</v>
      </c>
      <c r="W38" s="26">
        <f t="shared" si="42"/>
        <v>48.031496062992126</v>
      </c>
      <c r="X38" s="39">
        <v>125</v>
      </c>
      <c r="Y38" s="26">
        <f t="shared" si="43"/>
        <v>49.212598425196852</v>
      </c>
      <c r="Z38" s="44">
        <v>3</v>
      </c>
      <c r="AA38" s="26">
        <f t="shared" si="44"/>
        <v>1.1811023622047243</v>
      </c>
    </row>
    <row r="39" spans="1:27">
      <c r="A39" s="17" t="s">
        <v>54</v>
      </c>
      <c r="B39" s="39">
        <v>58</v>
      </c>
      <c r="C39" s="26">
        <f t="shared" si="45"/>
        <v>22.834645669291337</v>
      </c>
      <c r="D39" s="39">
        <v>59</v>
      </c>
      <c r="E39" s="26">
        <f t="shared" si="45"/>
        <v>23.228346456692915</v>
      </c>
      <c r="F39" s="39">
        <v>60</v>
      </c>
      <c r="G39" s="40">
        <f t="shared" si="34"/>
        <v>23.622047244094489</v>
      </c>
      <c r="H39" s="41">
        <v>61</v>
      </c>
      <c r="I39" s="42">
        <f t="shared" si="35"/>
        <v>24.015748031496063</v>
      </c>
      <c r="J39" s="43">
        <v>62</v>
      </c>
      <c r="K39" s="26">
        <f t="shared" si="36"/>
        <v>24.409448818897637</v>
      </c>
      <c r="L39" s="39">
        <v>63</v>
      </c>
      <c r="M39" s="26">
        <f t="shared" si="37"/>
        <v>24.803149606299211</v>
      </c>
      <c r="N39" s="39">
        <v>64</v>
      </c>
      <c r="O39" s="26">
        <f t="shared" si="38"/>
        <v>25.196850393700785</v>
      </c>
      <c r="P39" s="39">
        <v>65</v>
      </c>
      <c r="Q39" s="26">
        <f t="shared" si="39"/>
        <v>25.590551181102363</v>
      </c>
      <c r="R39" s="39">
        <v>66</v>
      </c>
      <c r="S39" s="26">
        <f t="shared" si="40"/>
        <v>25.984251968503937</v>
      </c>
      <c r="T39" s="39">
        <v>67</v>
      </c>
      <c r="U39" s="26">
        <f t="shared" si="41"/>
        <v>26.377952755905511</v>
      </c>
      <c r="V39" s="39">
        <v>68</v>
      </c>
      <c r="W39" s="26">
        <f t="shared" si="42"/>
        <v>26.771653543307085</v>
      </c>
      <c r="X39" s="39">
        <v>69</v>
      </c>
      <c r="Y39" s="26">
        <f t="shared" si="43"/>
        <v>27.165354330708659</v>
      </c>
      <c r="Z39" s="44">
        <v>1</v>
      </c>
      <c r="AA39" s="26">
        <f t="shared" si="44"/>
        <v>0.39370078740157477</v>
      </c>
    </row>
    <row r="40" spans="1:27">
      <c r="A40" s="17" t="s">
        <v>55</v>
      </c>
      <c r="B40" s="39">
        <v>37</v>
      </c>
      <c r="C40" s="26">
        <f t="shared" si="45"/>
        <v>14.566929133858267</v>
      </c>
      <c r="D40" s="39">
        <v>38</v>
      </c>
      <c r="E40" s="26">
        <f t="shared" si="45"/>
        <v>14.960629921259843</v>
      </c>
      <c r="F40" s="39">
        <v>39</v>
      </c>
      <c r="G40" s="40">
        <f t="shared" si="34"/>
        <v>15.354330708661417</v>
      </c>
      <c r="H40" s="41">
        <v>40</v>
      </c>
      <c r="I40" s="42">
        <f t="shared" si="35"/>
        <v>15.748031496062993</v>
      </c>
      <c r="J40" s="43">
        <v>41</v>
      </c>
      <c r="K40" s="26">
        <f t="shared" si="36"/>
        <v>16.141732283464567</v>
      </c>
      <c r="L40" s="39">
        <v>42</v>
      </c>
      <c r="M40" s="26">
        <f t="shared" si="37"/>
        <v>16.535433070866141</v>
      </c>
      <c r="N40" s="39">
        <v>43</v>
      </c>
      <c r="O40" s="26">
        <f t="shared" si="38"/>
        <v>16.929133858267715</v>
      </c>
      <c r="P40" s="39">
        <v>44</v>
      </c>
      <c r="Q40" s="26">
        <f t="shared" si="39"/>
        <v>17.322834645669293</v>
      </c>
      <c r="R40" s="39">
        <v>45</v>
      </c>
      <c r="S40" s="26">
        <f t="shared" si="40"/>
        <v>17.716535433070867</v>
      </c>
      <c r="T40" s="39">
        <v>46</v>
      </c>
      <c r="U40" s="26">
        <f t="shared" si="41"/>
        <v>18.110236220472441</v>
      </c>
      <c r="V40" s="39">
        <v>47</v>
      </c>
      <c r="W40" s="26">
        <f t="shared" si="42"/>
        <v>18.503937007874015</v>
      </c>
      <c r="X40" s="39">
        <v>48</v>
      </c>
      <c r="Y40" s="26">
        <f t="shared" si="43"/>
        <v>18.897637795275589</v>
      </c>
      <c r="Z40" s="44">
        <v>1</v>
      </c>
      <c r="AA40" s="26">
        <f t="shared" si="44"/>
        <v>0.39370078740157477</v>
      </c>
    </row>
    <row r="41" spans="1:27">
      <c r="A41" s="17" t="s">
        <v>56</v>
      </c>
      <c r="B41" s="39">
        <v>13.75</v>
      </c>
      <c r="C41" s="26">
        <f t="shared" si="45"/>
        <v>5.4133858267716537</v>
      </c>
      <c r="D41" s="39">
        <v>14</v>
      </c>
      <c r="E41" s="26">
        <f t="shared" si="45"/>
        <v>5.5118110236220472</v>
      </c>
      <c r="F41" s="39">
        <v>14.25</v>
      </c>
      <c r="G41" s="40">
        <f t="shared" si="34"/>
        <v>5.6102362204724407</v>
      </c>
      <c r="H41" s="41">
        <v>14.5</v>
      </c>
      <c r="I41" s="42">
        <f t="shared" si="35"/>
        <v>5.7086614173228343</v>
      </c>
      <c r="J41" s="43">
        <v>14.75</v>
      </c>
      <c r="K41" s="26">
        <f t="shared" si="36"/>
        <v>5.8070866141732287</v>
      </c>
      <c r="L41" s="39">
        <v>15</v>
      </c>
      <c r="M41" s="26">
        <f t="shared" si="37"/>
        <v>5.9055118110236222</v>
      </c>
      <c r="N41" s="39">
        <v>15.25</v>
      </c>
      <c r="O41" s="26">
        <f t="shared" si="38"/>
        <v>6.0039370078740157</v>
      </c>
      <c r="P41" s="39">
        <v>15.5</v>
      </c>
      <c r="Q41" s="26">
        <f t="shared" si="39"/>
        <v>6.1023622047244093</v>
      </c>
      <c r="R41" s="39">
        <v>15.75</v>
      </c>
      <c r="S41" s="26">
        <f t="shared" si="40"/>
        <v>6.2007874015748028</v>
      </c>
      <c r="T41" s="39">
        <v>16</v>
      </c>
      <c r="U41" s="26">
        <f t="shared" si="41"/>
        <v>6.2992125984251963</v>
      </c>
      <c r="V41" s="39">
        <v>16.25</v>
      </c>
      <c r="W41" s="26">
        <f t="shared" si="42"/>
        <v>6.3976377952755907</v>
      </c>
      <c r="X41" s="39">
        <v>16.5</v>
      </c>
      <c r="Y41" s="26">
        <f t="shared" si="43"/>
        <v>6.4960629921259843</v>
      </c>
      <c r="Z41" s="44">
        <v>0.25</v>
      </c>
      <c r="AA41" s="26">
        <f t="shared" si="44"/>
        <v>9.8425196850393692E-2</v>
      </c>
    </row>
    <row r="42" spans="1:27" ht="18" thickBot="1">
      <c r="A42" s="17" t="s">
        <v>1</v>
      </c>
      <c r="B42" s="39">
        <v>8</v>
      </c>
      <c r="C42" s="26">
        <f t="shared" si="45"/>
        <v>3.1496062992125982</v>
      </c>
      <c r="D42" s="39">
        <v>8</v>
      </c>
      <c r="E42" s="26">
        <f t="shared" si="45"/>
        <v>3.1496062992125982</v>
      </c>
      <c r="F42" s="39">
        <v>8</v>
      </c>
      <c r="G42" s="40">
        <f t="shared" si="34"/>
        <v>3.1496062992125982</v>
      </c>
      <c r="H42" s="45">
        <v>8</v>
      </c>
      <c r="I42" s="46">
        <f t="shared" si="35"/>
        <v>3.1496062992125982</v>
      </c>
      <c r="J42" s="43">
        <v>8</v>
      </c>
      <c r="K42" s="26">
        <f t="shared" si="36"/>
        <v>3.1496062992125982</v>
      </c>
      <c r="L42" s="39">
        <v>8</v>
      </c>
      <c r="M42" s="26">
        <f t="shared" si="37"/>
        <v>3.1496062992125982</v>
      </c>
      <c r="N42" s="39">
        <v>8</v>
      </c>
      <c r="O42" s="26">
        <f t="shared" si="38"/>
        <v>3.1496062992125982</v>
      </c>
      <c r="P42" s="39">
        <v>8</v>
      </c>
      <c r="Q42" s="26">
        <f t="shared" si="39"/>
        <v>3.1496062992125982</v>
      </c>
      <c r="R42" s="39">
        <v>8</v>
      </c>
      <c r="S42" s="26">
        <f t="shared" si="40"/>
        <v>3.1496062992125982</v>
      </c>
      <c r="T42" s="39">
        <v>8</v>
      </c>
      <c r="U42" s="26">
        <f t="shared" si="41"/>
        <v>3.1496062992125982</v>
      </c>
      <c r="V42" s="39">
        <v>8</v>
      </c>
      <c r="W42" s="26">
        <f t="shared" si="42"/>
        <v>3.1496062992125982</v>
      </c>
      <c r="X42" s="39">
        <v>8</v>
      </c>
      <c r="Y42" s="26">
        <f t="shared" si="43"/>
        <v>3.1496062992125982</v>
      </c>
      <c r="Z42" s="44" t="s">
        <v>46</v>
      </c>
      <c r="AA42" s="47"/>
    </row>
    <row r="44" spans="1:27" ht="30">
      <c r="A44" s="48" t="s">
        <v>68</v>
      </c>
      <c r="B44" s="4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7">
      <c r="A45" s="17" t="s">
        <v>35</v>
      </c>
      <c r="B45" s="50">
        <v>44</v>
      </c>
      <c r="C45" s="51"/>
      <c r="D45" s="50">
        <v>46</v>
      </c>
      <c r="E45" s="51"/>
      <c r="F45" s="50">
        <v>48</v>
      </c>
      <c r="G45" s="51"/>
      <c r="H45" s="50">
        <v>50</v>
      </c>
      <c r="I45" s="51"/>
      <c r="J45" s="50">
        <v>52</v>
      </c>
      <c r="K45" s="51"/>
      <c r="L45" s="50">
        <v>54</v>
      </c>
      <c r="M45" s="51"/>
      <c r="N45" s="50">
        <v>56</v>
      </c>
      <c r="O45" s="51"/>
      <c r="P45" s="50">
        <v>58</v>
      </c>
      <c r="Q45" s="51"/>
      <c r="R45" s="50">
        <v>60</v>
      </c>
      <c r="S45" s="51"/>
      <c r="T45" s="17" t="s">
        <v>37</v>
      </c>
      <c r="U45" s="17"/>
    </row>
    <row r="46" spans="1:27">
      <c r="A46" s="17" t="s">
        <v>38</v>
      </c>
      <c r="B46" s="20">
        <v>71.5</v>
      </c>
      <c r="C46" s="21">
        <f t="shared" ref="C46:C53" si="46">B46/2.54</f>
        <v>28.149606299212596</v>
      </c>
      <c r="D46" s="20">
        <v>72.5</v>
      </c>
      <c r="E46" s="21">
        <f t="shared" ref="E46:E53" si="47">D46/2.54</f>
        <v>28.543307086614174</v>
      </c>
      <c r="F46" s="52">
        <v>73.5</v>
      </c>
      <c r="G46" s="23">
        <f t="shared" ref="G46:G53" si="48">F46/2.54</f>
        <v>28.937007874015748</v>
      </c>
      <c r="H46" s="20">
        <v>74.5</v>
      </c>
      <c r="I46" s="21">
        <f t="shared" ref="I46:I53" si="49">H46/2.54</f>
        <v>29.330708661417322</v>
      </c>
      <c r="J46" s="20">
        <v>75.5</v>
      </c>
      <c r="K46" s="21">
        <f t="shared" ref="K46:K53" si="50">J46/2.54</f>
        <v>29.724409448818896</v>
      </c>
      <c r="L46" s="20">
        <v>76.5</v>
      </c>
      <c r="M46" s="25">
        <f t="shared" ref="M46:M53" si="51">L46/2.54</f>
        <v>30.11811023622047</v>
      </c>
      <c r="N46" s="24">
        <v>77.5</v>
      </c>
      <c r="O46" s="21">
        <f t="shared" ref="O46:O53" si="52">N46/2.54</f>
        <v>30.511811023622048</v>
      </c>
      <c r="P46" s="24">
        <v>78.5</v>
      </c>
      <c r="Q46" s="21">
        <f t="shared" ref="Q46:Q53" si="53">P46/2.54</f>
        <v>30.905511811023622</v>
      </c>
      <c r="R46" s="20">
        <v>79.5</v>
      </c>
      <c r="S46" s="21">
        <f t="shared" ref="S46:S53" si="54">R46/2.54</f>
        <v>31.299212598425196</v>
      </c>
      <c r="T46" s="20">
        <f t="shared" ref="T46:T52" si="55">R46-P46</f>
        <v>1</v>
      </c>
      <c r="U46" s="26">
        <f t="shared" ref="U46:U52" si="56">T46/2.54</f>
        <v>0.39370078740157477</v>
      </c>
    </row>
    <row r="47" spans="1:27">
      <c r="A47" s="17" t="s">
        <v>39</v>
      </c>
      <c r="B47" s="20">
        <v>44.5</v>
      </c>
      <c r="C47" s="21">
        <f t="shared" si="46"/>
        <v>17.519685039370078</v>
      </c>
      <c r="D47" s="20">
        <v>45.5</v>
      </c>
      <c r="E47" s="21">
        <f t="shared" si="47"/>
        <v>17.913385826771652</v>
      </c>
      <c r="F47" s="52">
        <v>46.5</v>
      </c>
      <c r="G47" s="23">
        <f t="shared" si="48"/>
        <v>18.30708661417323</v>
      </c>
      <c r="H47" s="20">
        <v>47.5</v>
      </c>
      <c r="I47" s="21">
        <f t="shared" si="49"/>
        <v>18.700787401574804</v>
      </c>
      <c r="J47" s="20">
        <v>48.5</v>
      </c>
      <c r="K47" s="21">
        <f t="shared" si="50"/>
        <v>19.094488188976378</v>
      </c>
      <c r="L47" s="20">
        <v>49.5</v>
      </c>
      <c r="M47" s="25">
        <f t="shared" si="51"/>
        <v>19.488188976377952</v>
      </c>
      <c r="N47" s="24">
        <v>50.5</v>
      </c>
      <c r="O47" s="21">
        <f t="shared" si="52"/>
        <v>19.881889763779526</v>
      </c>
      <c r="P47" s="24">
        <v>51.5</v>
      </c>
      <c r="Q47" s="21">
        <f t="shared" si="53"/>
        <v>20.275590551181104</v>
      </c>
      <c r="R47" s="20">
        <v>52.5</v>
      </c>
      <c r="S47" s="21">
        <f t="shared" si="54"/>
        <v>20.669291338582678</v>
      </c>
      <c r="T47" s="20">
        <f t="shared" si="55"/>
        <v>1</v>
      </c>
      <c r="U47" s="26">
        <f t="shared" si="56"/>
        <v>0.39370078740157477</v>
      </c>
    </row>
    <row r="48" spans="1:27">
      <c r="A48" s="17" t="s">
        <v>40</v>
      </c>
      <c r="B48" s="20">
        <v>99.5</v>
      </c>
      <c r="C48" s="21">
        <f t="shared" si="46"/>
        <v>39.173228346456689</v>
      </c>
      <c r="D48" s="20">
        <v>102.5</v>
      </c>
      <c r="E48" s="21">
        <f t="shared" si="47"/>
        <v>40.354330708661415</v>
      </c>
      <c r="F48" s="52">
        <v>105.5</v>
      </c>
      <c r="G48" s="23">
        <f t="shared" si="48"/>
        <v>41.535433070866141</v>
      </c>
      <c r="H48" s="20">
        <v>108.5</v>
      </c>
      <c r="I48" s="21">
        <f t="shared" si="49"/>
        <v>42.716535433070867</v>
      </c>
      <c r="J48" s="20">
        <v>111.5</v>
      </c>
      <c r="K48" s="21">
        <f t="shared" si="50"/>
        <v>43.897637795275593</v>
      </c>
      <c r="L48" s="20">
        <v>114.5</v>
      </c>
      <c r="M48" s="25">
        <f t="shared" si="51"/>
        <v>45.078740157480311</v>
      </c>
      <c r="N48" s="24">
        <v>117.5</v>
      </c>
      <c r="O48" s="21">
        <f t="shared" si="52"/>
        <v>46.259842519685037</v>
      </c>
      <c r="P48" s="24">
        <v>120.5</v>
      </c>
      <c r="Q48" s="21">
        <f t="shared" si="53"/>
        <v>47.440944881889763</v>
      </c>
      <c r="R48" s="20">
        <v>123.5</v>
      </c>
      <c r="S48" s="21">
        <f t="shared" si="54"/>
        <v>48.622047244094489</v>
      </c>
      <c r="T48" s="20">
        <f t="shared" si="55"/>
        <v>3</v>
      </c>
      <c r="U48" s="26">
        <f t="shared" si="56"/>
        <v>1.1811023622047243</v>
      </c>
    </row>
    <row r="49" spans="1:21">
      <c r="A49" s="17" t="s">
        <v>41</v>
      </c>
      <c r="B49" s="20">
        <v>88</v>
      </c>
      <c r="C49" s="21">
        <f t="shared" si="46"/>
        <v>34.645669291338585</v>
      </c>
      <c r="D49" s="20">
        <v>91</v>
      </c>
      <c r="E49" s="21">
        <f t="shared" si="47"/>
        <v>35.826771653543304</v>
      </c>
      <c r="F49" s="52">
        <v>94</v>
      </c>
      <c r="G49" s="23">
        <f t="shared" si="48"/>
        <v>37.00787401574803</v>
      </c>
      <c r="H49" s="20">
        <v>97</v>
      </c>
      <c r="I49" s="21">
        <f t="shared" si="49"/>
        <v>38.188976377952756</v>
      </c>
      <c r="J49" s="20">
        <v>100</v>
      </c>
      <c r="K49" s="25">
        <f t="shared" si="50"/>
        <v>39.370078740157481</v>
      </c>
      <c r="L49" s="53">
        <v>103</v>
      </c>
      <c r="M49" s="27">
        <f t="shared" si="51"/>
        <v>40.551181102362207</v>
      </c>
      <c r="N49" s="24">
        <v>106</v>
      </c>
      <c r="O49" s="21">
        <f t="shared" si="52"/>
        <v>41.732283464566926</v>
      </c>
      <c r="P49" s="20">
        <v>109</v>
      </c>
      <c r="Q49" s="21">
        <f t="shared" si="53"/>
        <v>42.913385826771652</v>
      </c>
      <c r="R49" s="20">
        <v>112</v>
      </c>
      <c r="S49" s="21">
        <f t="shared" si="54"/>
        <v>44.094488188976378</v>
      </c>
      <c r="T49" s="20">
        <f t="shared" si="55"/>
        <v>3</v>
      </c>
      <c r="U49" s="26">
        <f t="shared" si="56"/>
        <v>1.1811023622047243</v>
      </c>
    </row>
    <row r="50" spans="1:21">
      <c r="A50" s="17" t="s">
        <v>42</v>
      </c>
      <c r="B50" s="20">
        <v>60.5</v>
      </c>
      <c r="C50" s="21">
        <f t="shared" si="46"/>
        <v>23.818897637795274</v>
      </c>
      <c r="D50" s="20">
        <v>61.5</v>
      </c>
      <c r="E50" s="21">
        <f t="shared" si="47"/>
        <v>24.212598425196852</v>
      </c>
      <c r="F50" s="52">
        <v>62.5</v>
      </c>
      <c r="G50" s="23">
        <f t="shared" si="48"/>
        <v>24.606299212598426</v>
      </c>
      <c r="H50" s="20">
        <v>63.5</v>
      </c>
      <c r="I50" s="21">
        <f t="shared" si="49"/>
        <v>25</v>
      </c>
      <c r="J50" s="20">
        <v>64.5</v>
      </c>
      <c r="K50" s="21">
        <f t="shared" si="50"/>
        <v>25.393700787401574</v>
      </c>
      <c r="L50" s="20">
        <v>65.5</v>
      </c>
      <c r="M50" s="25">
        <f t="shared" si="51"/>
        <v>25.787401574803148</v>
      </c>
      <c r="N50" s="24">
        <v>66.5</v>
      </c>
      <c r="O50" s="21">
        <f t="shared" si="52"/>
        <v>26.181102362204722</v>
      </c>
      <c r="P50" s="24">
        <v>67.5</v>
      </c>
      <c r="Q50" s="21">
        <f t="shared" si="53"/>
        <v>26.5748031496063</v>
      </c>
      <c r="R50" s="20">
        <v>68.5</v>
      </c>
      <c r="S50" s="21">
        <f t="shared" si="54"/>
        <v>26.968503937007874</v>
      </c>
      <c r="T50" s="20">
        <f t="shared" si="55"/>
        <v>1</v>
      </c>
      <c r="U50" s="26">
        <f t="shared" si="56"/>
        <v>0.39370078740157477</v>
      </c>
    </row>
    <row r="51" spans="1:21">
      <c r="A51" s="17" t="s">
        <v>43</v>
      </c>
      <c r="B51" s="20">
        <v>37.4</v>
      </c>
      <c r="C51" s="21">
        <f t="shared" si="46"/>
        <v>14.724409448818896</v>
      </c>
      <c r="D51" s="20">
        <v>38.200000000000003</v>
      </c>
      <c r="E51" s="21">
        <f t="shared" si="47"/>
        <v>15.039370078740159</v>
      </c>
      <c r="F51" s="52">
        <v>39</v>
      </c>
      <c r="G51" s="23">
        <f t="shared" si="48"/>
        <v>15.354330708661417</v>
      </c>
      <c r="H51" s="20">
        <v>39.799999999999997</v>
      </c>
      <c r="I51" s="21">
        <f t="shared" si="49"/>
        <v>15.669291338582676</v>
      </c>
      <c r="J51" s="20">
        <v>40.6</v>
      </c>
      <c r="K51" s="21">
        <f t="shared" si="50"/>
        <v>15.984251968503937</v>
      </c>
      <c r="L51" s="20">
        <v>41.4</v>
      </c>
      <c r="M51" s="25">
        <f t="shared" si="51"/>
        <v>16.299212598425196</v>
      </c>
      <c r="N51" s="24">
        <v>42.2</v>
      </c>
      <c r="O51" s="21">
        <f t="shared" si="52"/>
        <v>16.614173228346459</v>
      </c>
      <c r="P51" s="24">
        <v>43</v>
      </c>
      <c r="Q51" s="21">
        <f t="shared" si="53"/>
        <v>16.929133858267715</v>
      </c>
      <c r="R51" s="20">
        <v>43.8</v>
      </c>
      <c r="S51" s="21">
        <f t="shared" si="54"/>
        <v>17.244094488188974</v>
      </c>
      <c r="T51" s="20">
        <f t="shared" si="55"/>
        <v>0.79999999999999716</v>
      </c>
      <c r="U51" s="26">
        <f t="shared" si="56"/>
        <v>0.31496062992125873</v>
      </c>
    </row>
    <row r="52" spans="1:21">
      <c r="A52" s="17" t="s">
        <v>44</v>
      </c>
      <c r="B52" s="20">
        <v>13.9</v>
      </c>
      <c r="C52" s="21">
        <f t="shared" si="46"/>
        <v>5.4724409448818898</v>
      </c>
      <c r="D52" s="20">
        <v>14.1</v>
      </c>
      <c r="E52" s="21">
        <f t="shared" si="47"/>
        <v>5.5511811023622046</v>
      </c>
      <c r="F52" s="52">
        <v>14.3</v>
      </c>
      <c r="G52" s="23">
        <f t="shared" si="48"/>
        <v>5.6299212598425195</v>
      </c>
      <c r="H52" s="54">
        <v>14.5</v>
      </c>
      <c r="I52" s="28">
        <f t="shared" si="49"/>
        <v>5.7086614173228343</v>
      </c>
      <c r="J52" s="20">
        <v>14.7</v>
      </c>
      <c r="K52" s="21">
        <f t="shared" si="50"/>
        <v>5.7874015748031491</v>
      </c>
      <c r="L52" s="20">
        <v>14.9</v>
      </c>
      <c r="M52" s="25">
        <f t="shared" si="51"/>
        <v>5.8661417322834648</v>
      </c>
      <c r="N52" s="24">
        <v>15.1</v>
      </c>
      <c r="O52" s="21">
        <f t="shared" si="52"/>
        <v>5.9448818897637796</v>
      </c>
      <c r="P52" s="24">
        <v>15.3</v>
      </c>
      <c r="Q52" s="21">
        <f t="shared" si="53"/>
        <v>6.0236220472440944</v>
      </c>
      <c r="R52" s="20">
        <v>15.5</v>
      </c>
      <c r="S52" s="21">
        <f t="shared" si="54"/>
        <v>6.1023622047244093</v>
      </c>
      <c r="T52" s="20">
        <f t="shared" si="55"/>
        <v>0.19999999999999929</v>
      </c>
      <c r="U52" s="26">
        <f t="shared" si="56"/>
        <v>7.8740157480314682E-2</v>
      </c>
    </row>
    <row r="53" spans="1:21">
      <c r="A53" s="17" t="s">
        <v>45</v>
      </c>
      <c r="B53" s="20">
        <v>8.5</v>
      </c>
      <c r="C53" s="21">
        <f t="shared" si="46"/>
        <v>3.3464566929133857</v>
      </c>
      <c r="D53" s="20">
        <v>8.5</v>
      </c>
      <c r="E53" s="21">
        <f t="shared" si="47"/>
        <v>3.3464566929133857</v>
      </c>
      <c r="F53" s="52">
        <v>8.5</v>
      </c>
      <c r="G53" s="23">
        <f t="shared" si="48"/>
        <v>3.3464566929133857</v>
      </c>
      <c r="H53" s="20">
        <v>8.5</v>
      </c>
      <c r="I53" s="21">
        <f t="shared" si="49"/>
        <v>3.3464566929133857</v>
      </c>
      <c r="J53" s="20">
        <v>8.5</v>
      </c>
      <c r="K53" s="21">
        <f t="shared" si="50"/>
        <v>3.3464566929133857</v>
      </c>
      <c r="L53" s="20">
        <v>8.5</v>
      </c>
      <c r="M53" s="25">
        <f t="shared" si="51"/>
        <v>3.3464566929133857</v>
      </c>
      <c r="N53" s="24">
        <v>8.5</v>
      </c>
      <c r="O53" s="21">
        <f t="shared" si="52"/>
        <v>3.3464566929133857</v>
      </c>
      <c r="P53" s="20">
        <v>8.5</v>
      </c>
      <c r="Q53" s="21">
        <f t="shared" si="53"/>
        <v>3.3464566929133857</v>
      </c>
      <c r="R53" s="20">
        <v>8.5</v>
      </c>
      <c r="S53" s="21">
        <f t="shared" si="54"/>
        <v>3.3464566929133857</v>
      </c>
      <c r="T53" s="20"/>
      <c r="U53" s="26" t="s">
        <v>46</v>
      </c>
    </row>
    <row r="58" spans="1:21"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  <c r="J58">
        <v>9</v>
      </c>
      <c r="K58">
        <v>10</v>
      </c>
    </row>
    <row r="59" spans="1:21" ht="30">
      <c r="A59" s="14" t="s">
        <v>66</v>
      </c>
      <c r="B59" s="18">
        <v>44</v>
      </c>
      <c r="C59" s="18">
        <v>46</v>
      </c>
      <c r="D59" s="18">
        <v>48</v>
      </c>
      <c r="E59" s="18">
        <v>50</v>
      </c>
      <c r="F59" s="18">
        <v>52</v>
      </c>
      <c r="G59" s="18">
        <v>54</v>
      </c>
      <c r="H59" s="18">
        <v>56</v>
      </c>
      <c r="I59" s="18" t="s">
        <v>36</v>
      </c>
      <c r="J59" s="18">
        <v>58</v>
      </c>
      <c r="K59" s="18">
        <v>60</v>
      </c>
      <c r="L59" s="18"/>
      <c r="M59" s="19"/>
      <c r="N59" s="18"/>
      <c r="O59" s="19"/>
      <c r="P59" s="18"/>
      <c r="Q59" s="19"/>
      <c r="R59" s="18"/>
      <c r="S59" s="19"/>
      <c r="T59" s="18"/>
      <c r="U59" s="19"/>
    </row>
    <row r="60" spans="1:21" ht="30">
      <c r="A60" s="14" t="s">
        <v>67</v>
      </c>
      <c r="B60" s="18">
        <v>44</v>
      </c>
      <c r="C60" s="18">
        <v>46</v>
      </c>
      <c r="D60" s="18">
        <v>48</v>
      </c>
      <c r="E60" s="18">
        <v>50</v>
      </c>
      <c r="F60" s="18">
        <v>52</v>
      </c>
      <c r="G60" s="18">
        <v>54</v>
      </c>
      <c r="H60" s="18">
        <v>56</v>
      </c>
      <c r="I60" s="18" t="s">
        <v>36</v>
      </c>
      <c r="J60" s="18">
        <v>58</v>
      </c>
      <c r="K60" s="18">
        <v>60</v>
      </c>
    </row>
    <row r="61" spans="1:21" ht="30">
      <c r="A61" s="48" t="s">
        <v>68</v>
      </c>
      <c r="B61">
        <v>44</v>
      </c>
      <c r="C61">
        <v>46</v>
      </c>
      <c r="D61">
        <v>48</v>
      </c>
      <c r="E61">
        <v>50</v>
      </c>
      <c r="F61">
        <v>52</v>
      </c>
      <c r="G61">
        <v>54</v>
      </c>
      <c r="H61">
        <v>56</v>
      </c>
      <c r="I61">
        <v>58</v>
      </c>
      <c r="J61">
        <v>60</v>
      </c>
      <c r="K61">
        <v>62</v>
      </c>
    </row>
    <row r="62" spans="1:21" ht="30">
      <c r="A62" s="33" t="s">
        <v>74</v>
      </c>
      <c r="B62">
        <v>44</v>
      </c>
      <c r="C62">
        <v>46</v>
      </c>
      <c r="D62">
        <v>48</v>
      </c>
      <c r="E62">
        <v>50</v>
      </c>
      <c r="F62">
        <v>52</v>
      </c>
      <c r="G62">
        <v>54</v>
      </c>
      <c r="H62">
        <v>56</v>
      </c>
      <c r="I62">
        <v>58</v>
      </c>
      <c r="J62">
        <v>60</v>
      </c>
      <c r="K62">
        <v>62</v>
      </c>
      <c r="L62">
        <v>64</v>
      </c>
    </row>
    <row r="63" spans="1:21" ht="30">
      <c r="A63" s="33" t="s">
        <v>48</v>
      </c>
      <c r="B63" s="18">
        <v>44</v>
      </c>
      <c r="C63" s="18">
        <v>46</v>
      </c>
      <c r="D63" s="18">
        <v>48</v>
      </c>
      <c r="E63" s="18">
        <v>50</v>
      </c>
      <c r="F63" s="18">
        <v>52</v>
      </c>
      <c r="G63" s="18">
        <v>54</v>
      </c>
      <c r="H63" s="18">
        <v>56</v>
      </c>
      <c r="I63" s="18">
        <v>58</v>
      </c>
      <c r="J63" s="18">
        <v>60</v>
      </c>
      <c r="K63" s="18"/>
    </row>
    <row r="67" spans="1:27" ht="30">
      <c r="A67" s="14" t="s">
        <v>75</v>
      </c>
      <c r="B67" s="18">
        <v>44</v>
      </c>
      <c r="C67" s="18">
        <v>46</v>
      </c>
      <c r="D67" s="18">
        <v>48</v>
      </c>
      <c r="E67" s="18">
        <v>50</v>
      </c>
      <c r="F67" s="18">
        <v>52</v>
      </c>
      <c r="G67" s="18">
        <v>54</v>
      </c>
      <c r="H67" s="18">
        <v>56</v>
      </c>
      <c r="I67" s="18" t="s">
        <v>76</v>
      </c>
      <c r="J67" s="18">
        <v>58</v>
      </c>
      <c r="K67" s="18">
        <v>60</v>
      </c>
    </row>
    <row r="68" spans="1:27">
      <c r="A68" s="17" t="s">
        <v>39</v>
      </c>
      <c r="B68" s="20">
        <v>42</v>
      </c>
      <c r="C68" s="20">
        <v>43</v>
      </c>
      <c r="D68" s="22">
        <v>44</v>
      </c>
      <c r="E68" s="20">
        <v>45</v>
      </c>
      <c r="F68" s="24">
        <v>46</v>
      </c>
      <c r="G68" s="20">
        <v>47</v>
      </c>
      <c r="H68" s="20">
        <v>48</v>
      </c>
      <c r="I68" s="20">
        <v>49</v>
      </c>
      <c r="J68" s="20">
        <v>50</v>
      </c>
      <c r="K68" s="20">
        <v>51</v>
      </c>
      <c r="L68" s="20"/>
      <c r="M68" s="25"/>
      <c r="N68" s="20"/>
      <c r="O68" s="21"/>
      <c r="P68" s="20"/>
      <c r="Q68" s="21"/>
      <c r="R68" s="20"/>
      <c r="S68" s="21"/>
      <c r="T68" s="20"/>
      <c r="U68" s="21"/>
      <c r="V68" s="20"/>
      <c r="W68" s="26"/>
    </row>
    <row r="69" spans="1:27" ht="30">
      <c r="A69" s="14" t="s">
        <v>77</v>
      </c>
      <c r="B69" s="18">
        <v>44</v>
      </c>
      <c r="C69" s="18">
        <v>46</v>
      </c>
      <c r="D69" s="18">
        <v>48</v>
      </c>
      <c r="E69" s="18">
        <v>50</v>
      </c>
      <c r="F69" s="18">
        <v>52</v>
      </c>
      <c r="G69" s="18">
        <v>54</v>
      </c>
      <c r="H69" s="18">
        <v>56</v>
      </c>
      <c r="I69" s="18" t="s">
        <v>76</v>
      </c>
      <c r="J69" s="18">
        <v>58</v>
      </c>
      <c r="K69" s="18">
        <v>60</v>
      </c>
    </row>
    <row r="70" spans="1:27">
      <c r="A70" s="17" t="s">
        <v>39</v>
      </c>
      <c r="B70" s="20">
        <v>42</v>
      </c>
      <c r="C70" s="20">
        <v>43</v>
      </c>
      <c r="D70" s="22">
        <v>44</v>
      </c>
      <c r="E70" s="20">
        <v>45</v>
      </c>
      <c r="F70" s="24">
        <v>46</v>
      </c>
      <c r="G70" s="20">
        <v>47</v>
      </c>
      <c r="H70" s="20">
        <v>48</v>
      </c>
      <c r="I70" s="20">
        <v>49</v>
      </c>
      <c r="J70" s="20">
        <v>50</v>
      </c>
      <c r="K70" s="20">
        <v>51</v>
      </c>
      <c r="L70" s="20"/>
      <c r="M70" s="25"/>
      <c r="N70" s="20"/>
      <c r="O70" s="21"/>
      <c r="P70" s="20"/>
      <c r="Q70" s="21"/>
      <c r="R70" s="20"/>
      <c r="S70" s="21"/>
      <c r="T70" s="20"/>
      <c r="U70" s="21"/>
      <c r="V70" s="20"/>
      <c r="W70" s="26"/>
    </row>
    <row r="71" spans="1:27" ht="30">
      <c r="A71" s="33" t="s">
        <v>78</v>
      </c>
      <c r="B71">
        <v>44</v>
      </c>
      <c r="C71">
        <v>46</v>
      </c>
      <c r="D71">
        <v>48</v>
      </c>
      <c r="E71">
        <v>50</v>
      </c>
      <c r="F71">
        <v>52</v>
      </c>
      <c r="G71">
        <v>54</v>
      </c>
      <c r="H71">
        <v>56</v>
      </c>
      <c r="I71">
        <v>58</v>
      </c>
      <c r="J71">
        <v>60</v>
      </c>
      <c r="K71">
        <v>62</v>
      </c>
    </row>
    <row r="72" spans="1:27">
      <c r="A72" s="17" t="s">
        <v>39</v>
      </c>
      <c r="B72" s="20">
        <v>43.5</v>
      </c>
      <c r="C72" s="20">
        <v>44.5</v>
      </c>
      <c r="D72" s="22">
        <v>45.5</v>
      </c>
      <c r="E72" s="20">
        <v>46.5</v>
      </c>
      <c r="F72" s="24">
        <v>47.5</v>
      </c>
      <c r="G72" s="20">
        <v>48.5</v>
      </c>
      <c r="H72" s="20">
        <v>49.5</v>
      </c>
      <c r="I72" s="20">
        <v>50.5</v>
      </c>
      <c r="J72" s="20">
        <v>51.5</v>
      </c>
      <c r="K72" s="20">
        <v>52.5</v>
      </c>
      <c r="L72" s="20"/>
      <c r="M72" s="26"/>
      <c r="N72" s="20"/>
      <c r="O72" s="26"/>
      <c r="P72" s="20"/>
      <c r="Q72" s="26"/>
      <c r="R72" s="20"/>
      <c r="S72" s="26"/>
      <c r="T72" s="20"/>
      <c r="U72" s="26"/>
    </row>
    <row r="73" spans="1:27" ht="30">
      <c r="A73" s="33" t="s">
        <v>79</v>
      </c>
      <c r="B73">
        <v>42</v>
      </c>
      <c r="C73">
        <v>44</v>
      </c>
      <c r="D73">
        <v>46</v>
      </c>
      <c r="E73">
        <v>48</v>
      </c>
      <c r="F73">
        <v>50</v>
      </c>
      <c r="G73">
        <v>52</v>
      </c>
      <c r="H73">
        <v>54</v>
      </c>
      <c r="I73">
        <v>56</v>
      </c>
      <c r="J73">
        <v>58</v>
      </c>
      <c r="K73">
        <v>60</v>
      </c>
      <c r="L73">
        <v>62</v>
      </c>
      <c r="M73">
        <v>64</v>
      </c>
    </row>
    <row r="74" spans="1:27">
      <c r="A74" s="17" t="s">
        <v>16</v>
      </c>
      <c r="B74" s="39">
        <v>44</v>
      </c>
      <c r="C74" s="39">
        <v>45</v>
      </c>
      <c r="D74" s="39">
        <v>46</v>
      </c>
      <c r="E74" s="41">
        <v>47</v>
      </c>
      <c r="F74" s="43">
        <v>48</v>
      </c>
      <c r="G74" s="39">
        <v>49</v>
      </c>
      <c r="H74" s="39">
        <v>50</v>
      </c>
      <c r="I74" s="39">
        <v>51</v>
      </c>
      <c r="J74" s="39">
        <v>52</v>
      </c>
      <c r="K74" s="39">
        <v>53</v>
      </c>
      <c r="L74" s="39">
        <v>54</v>
      </c>
      <c r="M74" s="39">
        <v>55</v>
      </c>
      <c r="N74" s="39"/>
      <c r="O74" s="26"/>
      <c r="P74" s="39"/>
      <c r="Q74" s="26"/>
      <c r="R74" s="39"/>
      <c r="S74" s="26"/>
      <c r="T74" s="39"/>
      <c r="U74" s="26"/>
      <c r="V74" s="39"/>
      <c r="W74" s="26"/>
      <c r="X74" s="39"/>
      <c r="Y74" s="26"/>
      <c r="Z74" s="44"/>
      <c r="AA74" s="26"/>
    </row>
    <row r="75" spans="1:27" ht="30">
      <c r="A75" s="48" t="s">
        <v>80</v>
      </c>
      <c r="B75" s="18">
        <v>44</v>
      </c>
      <c r="C75" s="18">
        <v>46</v>
      </c>
      <c r="D75" s="18">
        <v>48</v>
      </c>
      <c r="E75" s="18">
        <v>50</v>
      </c>
      <c r="F75" s="18">
        <v>52</v>
      </c>
      <c r="G75" s="18">
        <v>54</v>
      </c>
      <c r="H75" s="18">
        <v>56</v>
      </c>
      <c r="I75" s="18">
        <v>58</v>
      </c>
      <c r="J75" s="18">
        <v>60</v>
      </c>
    </row>
    <row r="76" spans="1:27">
      <c r="A76" s="17" t="s">
        <v>39</v>
      </c>
      <c r="B76" s="20">
        <v>44.5</v>
      </c>
      <c r="C76" s="20">
        <v>45.5</v>
      </c>
      <c r="D76" s="52">
        <v>46.5</v>
      </c>
      <c r="E76" s="20">
        <v>47.5</v>
      </c>
      <c r="F76" s="20">
        <v>48.5</v>
      </c>
      <c r="G76" s="20">
        <v>49.5</v>
      </c>
      <c r="H76" s="24">
        <v>50.5</v>
      </c>
      <c r="I76" s="24">
        <v>51.5</v>
      </c>
      <c r="J76" s="20">
        <v>52.5</v>
      </c>
      <c r="K76" s="20"/>
      <c r="L76" s="20"/>
      <c r="M76" s="25"/>
      <c r="N76" s="24"/>
      <c r="O76" s="21"/>
      <c r="P76" s="24"/>
      <c r="Q76" s="21"/>
      <c r="R76" s="20"/>
      <c r="S76" s="21"/>
      <c r="T76" s="20"/>
      <c r="U76" s="26"/>
    </row>
    <row r="79" spans="1:27" ht="30">
      <c r="A79" s="14" t="s">
        <v>75</v>
      </c>
      <c r="B79" s="18">
        <v>44</v>
      </c>
      <c r="C79" s="18">
        <v>46</v>
      </c>
      <c r="D79" s="18">
        <v>48</v>
      </c>
      <c r="E79" s="18">
        <v>50</v>
      </c>
      <c r="F79" s="18">
        <v>52</v>
      </c>
      <c r="G79" s="18">
        <v>54</v>
      </c>
      <c r="H79" s="18">
        <v>56</v>
      </c>
      <c r="I79" s="18" t="s">
        <v>76</v>
      </c>
      <c r="J79" s="18">
        <v>58</v>
      </c>
      <c r="K79" s="18">
        <v>60</v>
      </c>
    </row>
    <row r="80" spans="1:27">
      <c r="A80" s="17" t="s">
        <v>19</v>
      </c>
      <c r="B80" s="20">
        <v>96</v>
      </c>
      <c r="C80" s="20">
        <v>99</v>
      </c>
      <c r="D80" s="22">
        <v>102</v>
      </c>
      <c r="E80" s="20">
        <v>105</v>
      </c>
      <c r="F80" s="24">
        <v>108</v>
      </c>
      <c r="G80" s="20">
        <v>111</v>
      </c>
      <c r="H80" s="20">
        <v>114</v>
      </c>
      <c r="I80" s="20">
        <v>117</v>
      </c>
      <c r="J80" s="20">
        <v>120</v>
      </c>
      <c r="K80" s="20">
        <v>123</v>
      </c>
      <c r="L80" s="20"/>
      <c r="M80" s="25"/>
      <c r="N80" s="20"/>
      <c r="O80" s="21"/>
      <c r="P80" s="20"/>
      <c r="Q80" s="21"/>
      <c r="R80" s="20"/>
      <c r="S80" s="21"/>
      <c r="T80" s="20"/>
      <c r="U80" s="21"/>
      <c r="V80" s="20"/>
      <c r="W80" s="26"/>
    </row>
    <row r="81" spans="1:23">
      <c r="A81" s="17" t="s">
        <v>39</v>
      </c>
      <c r="B81" s="20">
        <v>42</v>
      </c>
      <c r="C81" s="20">
        <v>43</v>
      </c>
      <c r="D81" s="22">
        <v>44</v>
      </c>
      <c r="E81" s="20">
        <v>45</v>
      </c>
      <c r="F81" s="24">
        <v>46</v>
      </c>
      <c r="G81" s="20">
        <v>47</v>
      </c>
      <c r="H81" s="20">
        <v>48</v>
      </c>
      <c r="I81" s="20">
        <v>49</v>
      </c>
      <c r="J81" s="20">
        <v>50</v>
      </c>
      <c r="K81" s="20">
        <v>51</v>
      </c>
      <c r="L81" s="20"/>
      <c r="M81" s="25"/>
      <c r="N81" s="20"/>
      <c r="O81" s="21"/>
      <c r="P81" s="20"/>
      <c r="Q81" s="21"/>
      <c r="R81" s="20"/>
      <c r="S81" s="21"/>
      <c r="T81" s="20"/>
      <c r="U81" s="21"/>
      <c r="V81" s="20"/>
      <c r="W81" s="26"/>
    </row>
    <row r="82" spans="1:23">
      <c r="A82" s="73" t="s">
        <v>81</v>
      </c>
      <c r="B82" s="20">
        <v>84.5</v>
      </c>
      <c r="C82" s="20">
        <v>87.5</v>
      </c>
      <c r="D82" s="22">
        <v>90.5</v>
      </c>
      <c r="E82" s="20">
        <v>93.5</v>
      </c>
      <c r="F82" s="24">
        <v>96.5</v>
      </c>
      <c r="G82" s="20">
        <v>99.5</v>
      </c>
      <c r="H82" s="20">
        <v>102.5</v>
      </c>
      <c r="I82" s="20">
        <v>105.5</v>
      </c>
      <c r="J82" s="20">
        <v>108.5</v>
      </c>
      <c r="K82" s="20">
        <v>111.5</v>
      </c>
      <c r="L82" s="77"/>
      <c r="M82" s="78"/>
      <c r="N82" s="77"/>
      <c r="O82" s="78"/>
      <c r="P82" s="77"/>
      <c r="Q82" s="78"/>
      <c r="R82" s="77"/>
      <c r="S82" s="78"/>
      <c r="T82" s="77"/>
      <c r="U82" s="78"/>
      <c r="V82" s="77"/>
      <c r="W82" s="79"/>
    </row>
    <row r="83" spans="1:23">
      <c r="A83" s="73"/>
      <c r="B83" s="74"/>
      <c r="C83" s="74"/>
      <c r="D83" s="75"/>
      <c r="E83" s="74"/>
      <c r="F83" s="76"/>
      <c r="G83" s="74"/>
      <c r="H83" s="74"/>
      <c r="I83" s="74"/>
      <c r="J83" s="74"/>
      <c r="K83" s="74"/>
      <c r="L83" s="77"/>
      <c r="M83" s="78"/>
      <c r="N83" s="77"/>
      <c r="O83" s="78"/>
      <c r="P83" s="77"/>
      <c r="Q83" s="78"/>
      <c r="R83" s="77"/>
      <c r="S83" s="78"/>
      <c r="T83" s="77"/>
      <c r="U83" s="78"/>
      <c r="V83" s="77"/>
      <c r="W83" s="79"/>
    </row>
    <row r="84" spans="1:23">
      <c r="A84" s="73"/>
      <c r="B84" s="74"/>
      <c r="C84" s="74"/>
      <c r="D84" s="75"/>
      <c r="E84" s="74"/>
      <c r="F84" s="76"/>
      <c r="G84" s="74"/>
      <c r="H84" s="74"/>
      <c r="I84" s="74"/>
      <c r="J84" s="74"/>
      <c r="K84" s="74"/>
      <c r="L84" s="77"/>
      <c r="M84" s="78"/>
      <c r="N84" s="77"/>
      <c r="O84" s="78"/>
      <c r="P84" s="77"/>
      <c r="Q84" s="78"/>
      <c r="R84" s="77"/>
      <c r="S84" s="78"/>
      <c r="T84" s="77"/>
      <c r="U84" s="78"/>
      <c r="V84" s="77"/>
      <c r="W84" s="79"/>
    </row>
    <row r="85" spans="1:23" ht="30">
      <c r="A85" s="14" t="s">
        <v>77</v>
      </c>
      <c r="B85" s="18">
        <v>44</v>
      </c>
      <c r="C85" s="18">
        <v>46</v>
      </c>
      <c r="D85" s="18">
        <v>48</v>
      </c>
      <c r="E85" s="18">
        <v>50</v>
      </c>
      <c r="F85" s="18">
        <v>52</v>
      </c>
      <c r="G85" s="18">
        <v>54</v>
      </c>
      <c r="H85" s="18">
        <v>56</v>
      </c>
      <c r="I85" s="18" t="s">
        <v>76</v>
      </c>
      <c r="J85" s="18">
        <v>58</v>
      </c>
      <c r="K85" s="18">
        <v>60</v>
      </c>
    </row>
    <row r="86" spans="1:23">
      <c r="A86" s="17" t="s">
        <v>40</v>
      </c>
      <c r="B86" s="20">
        <v>98</v>
      </c>
      <c r="C86" s="20">
        <v>101</v>
      </c>
      <c r="D86" s="20">
        <v>104</v>
      </c>
      <c r="E86" s="20">
        <v>107</v>
      </c>
      <c r="F86" s="20">
        <v>110</v>
      </c>
      <c r="G86" s="20">
        <v>113</v>
      </c>
      <c r="H86" s="20">
        <v>116</v>
      </c>
      <c r="I86" s="20">
        <v>119</v>
      </c>
      <c r="J86" s="20">
        <v>122</v>
      </c>
      <c r="K86" s="20">
        <v>125</v>
      </c>
      <c r="L86" s="20"/>
      <c r="M86" s="25"/>
      <c r="N86" s="20"/>
      <c r="O86" s="21"/>
      <c r="P86" s="20"/>
      <c r="Q86" s="21"/>
      <c r="R86" s="20"/>
      <c r="S86" s="21"/>
      <c r="T86" s="20"/>
      <c r="U86" s="21"/>
      <c r="V86" s="20"/>
      <c r="W86" s="26"/>
    </row>
    <row r="87" spans="1:23">
      <c r="A87" s="17" t="s">
        <v>39</v>
      </c>
      <c r="B87" s="20">
        <v>42</v>
      </c>
      <c r="C87" s="20">
        <v>43</v>
      </c>
      <c r="D87" s="22">
        <v>44</v>
      </c>
      <c r="E87" s="20">
        <v>45</v>
      </c>
      <c r="F87" s="24">
        <v>46</v>
      </c>
      <c r="G87" s="20">
        <v>47</v>
      </c>
      <c r="H87" s="20">
        <v>48</v>
      </c>
      <c r="I87" s="20">
        <v>49</v>
      </c>
      <c r="J87" s="20">
        <v>50</v>
      </c>
      <c r="K87" s="20">
        <v>51</v>
      </c>
      <c r="L87" s="20"/>
      <c r="M87" s="25"/>
      <c r="N87" s="20"/>
      <c r="O87" s="21"/>
      <c r="P87" s="20"/>
      <c r="Q87" s="21"/>
      <c r="R87" s="20"/>
      <c r="S87" s="21"/>
      <c r="T87" s="20"/>
      <c r="U87" s="21"/>
      <c r="V87" s="20"/>
      <c r="W87" s="26"/>
    </row>
    <row r="88" spans="1:23">
      <c r="A88" s="17" t="s">
        <v>41</v>
      </c>
      <c r="B88" s="20">
        <v>86.5</v>
      </c>
      <c r="C88" s="20">
        <v>89.5</v>
      </c>
      <c r="D88" s="22">
        <v>92.5</v>
      </c>
      <c r="E88" s="20">
        <v>95.5</v>
      </c>
      <c r="F88" s="24">
        <v>98.5</v>
      </c>
      <c r="G88" s="20">
        <v>101.5</v>
      </c>
      <c r="H88" s="20">
        <v>104.5</v>
      </c>
      <c r="I88" s="20">
        <v>107.5</v>
      </c>
      <c r="J88" s="20">
        <v>110.5</v>
      </c>
      <c r="K88" s="20">
        <v>113.5</v>
      </c>
      <c r="L88" s="77"/>
      <c r="M88" s="78"/>
      <c r="N88" s="77"/>
      <c r="O88" s="78"/>
      <c r="P88" s="77"/>
      <c r="Q88" s="78"/>
      <c r="R88" s="77"/>
      <c r="S88" s="78"/>
      <c r="T88" s="77"/>
      <c r="U88" s="78"/>
      <c r="V88" s="77"/>
      <c r="W88" s="79"/>
    </row>
    <row r="89" spans="1:23">
      <c r="A89" s="73"/>
      <c r="B89" s="77"/>
      <c r="C89" s="77"/>
      <c r="D89" s="83"/>
      <c r="E89" s="77"/>
      <c r="F89" s="77"/>
      <c r="G89" s="77"/>
      <c r="H89" s="77"/>
      <c r="I89" s="77"/>
      <c r="J89" s="77"/>
      <c r="K89" s="77"/>
      <c r="L89" s="77"/>
      <c r="M89" s="78"/>
      <c r="N89" s="77"/>
      <c r="O89" s="78"/>
      <c r="P89" s="77"/>
      <c r="Q89" s="78"/>
      <c r="R89" s="77"/>
      <c r="S89" s="78"/>
      <c r="T89" s="77"/>
      <c r="U89" s="78"/>
      <c r="V89" s="77"/>
      <c r="W89" s="79"/>
    </row>
    <row r="90" spans="1:23">
      <c r="A90" s="73"/>
      <c r="B90" s="77"/>
      <c r="C90" s="77"/>
      <c r="D90" s="83"/>
      <c r="E90" s="77"/>
      <c r="F90" s="77"/>
      <c r="G90" s="77"/>
      <c r="H90" s="77"/>
      <c r="I90" s="77"/>
      <c r="J90" s="77"/>
      <c r="K90" s="77"/>
      <c r="L90" s="77"/>
      <c r="M90" s="78"/>
      <c r="N90" s="77"/>
      <c r="O90" s="78"/>
      <c r="P90" s="77"/>
      <c r="Q90" s="78"/>
      <c r="R90" s="77"/>
      <c r="S90" s="78"/>
      <c r="T90" s="77"/>
      <c r="U90" s="78"/>
      <c r="V90" s="77"/>
      <c r="W90" s="79"/>
    </row>
    <row r="91" spans="1:23" ht="30">
      <c r="A91" s="33" t="s">
        <v>78</v>
      </c>
      <c r="B91">
        <v>44</v>
      </c>
      <c r="C91">
        <v>46</v>
      </c>
      <c r="D91">
        <v>48</v>
      </c>
      <c r="E91">
        <v>50</v>
      </c>
      <c r="F91">
        <v>52</v>
      </c>
      <c r="G91">
        <v>54</v>
      </c>
      <c r="H91">
        <v>56</v>
      </c>
      <c r="I91">
        <v>58</v>
      </c>
      <c r="J91">
        <v>60</v>
      </c>
      <c r="K91">
        <v>62</v>
      </c>
    </row>
    <row r="92" spans="1:23">
      <c r="A92" s="17" t="s">
        <v>19</v>
      </c>
      <c r="B92" s="20">
        <v>97</v>
      </c>
      <c r="C92" s="20">
        <v>100</v>
      </c>
      <c r="D92" s="20">
        <v>103</v>
      </c>
      <c r="E92" s="20">
        <v>106</v>
      </c>
      <c r="F92" s="20">
        <v>109</v>
      </c>
      <c r="G92" s="20">
        <v>112</v>
      </c>
      <c r="H92" s="20">
        <v>115</v>
      </c>
      <c r="I92" s="20">
        <v>118</v>
      </c>
      <c r="J92" s="20">
        <v>121</v>
      </c>
      <c r="K92" s="20">
        <v>124</v>
      </c>
      <c r="L92" s="20"/>
      <c r="M92" s="26"/>
      <c r="N92" s="20"/>
      <c r="O92" s="26"/>
      <c r="P92" s="20"/>
      <c r="Q92" s="26"/>
      <c r="R92" s="20"/>
      <c r="S92" s="26"/>
      <c r="T92" s="20"/>
      <c r="U92" s="26"/>
    </row>
    <row r="93" spans="1:23">
      <c r="A93" s="17" t="s">
        <v>39</v>
      </c>
      <c r="B93" s="20">
        <v>43.5</v>
      </c>
      <c r="C93" s="20">
        <v>44.5</v>
      </c>
      <c r="D93" s="22">
        <v>45.5</v>
      </c>
      <c r="E93" s="20">
        <v>46.5</v>
      </c>
      <c r="F93" s="24">
        <v>47.5</v>
      </c>
      <c r="G93" s="20">
        <v>48.5</v>
      </c>
      <c r="H93" s="20">
        <v>49.5</v>
      </c>
      <c r="I93" s="20">
        <v>50.5</v>
      </c>
      <c r="J93" s="20">
        <v>51.5</v>
      </c>
      <c r="K93" s="20">
        <v>52.5</v>
      </c>
      <c r="L93" s="20"/>
      <c r="M93" s="26"/>
      <c r="N93" s="20"/>
      <c r="O93" s="26"/>
      <c r="P93" s="20"/>
      <c r="Q93" s="26"/>
      <c r="R93" s="20"/>
      <c r="S93" s="26"/>
      <c r="T93" s="20"/>
      <c r="U93" s="26"/>
    </row>
    <row r="94" spans="1:23">
      <c r="A94" s="17" t="s">
        <v>41</v>
      </c>
      <c r="B94" s="20">
        <v>86</v>
      </c>
      <c r="C94" s="20">
        <v>89</v>
      </c>
      <c r="D94" s="22">
        <v>92</v>
      </c>
      <c r="E94" s="20">
        <v>95</v>
      </c>
      <c r="F94" s="24">
        <v>98</v>
      </c>
      <c r="G94" s="20">
        <v>101</v>
      </c>
      <c r="H94" s="20">
        <v>104</v>
      </c>
      <c r="I94" s="20">
        <v>107</v>
      </c>
      <c r="J94" s="20">
        <v>110</v>
      </c>
      <c r="K94" s="20">
        <v>113</v>
      </c>
      <c r="L94" s="77"/>
      <c r="M94" s="79"/>
      <c r="N94" s="77"/>
      <c r="O94" s="79"/>
      <c r="P94" s="77"/>
      <c r="Q94" s="79"/>
      <c r="R94" s="77"/>
      <c r="S94" s="79"/>
      <c r="T94" s="77"/>
      <c r="U94" s="79"/>
    </row>
    <row r="95" spans="1:23">
      <c r="A95" s="73"/>
      <c r="B95" s="77"/>
      <c r="C95" s="77"/>
      <c r="D95" s="83"/>
      <c r="E95" s="77"/>
      <c r="F95" s="77"/>
      <c r="G95" s="77"/>
      <c r="H95" s="77"/>
      <c r="I95" s="77"/>
      <c r="J95" s="77"/>
      <c r="K95" s="77"/>
      <c r="L95" s="77"/>
      <c r="M95" s="79"/>
      <c r="N95" s="77"/>
      <c r="O95" s="79"/>
      <c r="P95" s="77"/>
      <c r="Q95" s="79"/>
      <c r="R95" s="77"/>
      <c r="S95" s="79"/>
      <c r="T95" s="77"/>
      <c r="U95" s="79"/>
    </row>
    <row r="96" spans="1:23">
      <c r="A96" s="73"/>
      <c r="B96" s="77"/>
      <c r="C96" s="77"/>
      <c r="D96" s="83"/>
      <c r="E96" s="77"/>
      <c r="F96" s="77"/>
      <c r="G96" s="77"/>
      <c r="H96" s="77"/>
      <c r="I96" s="77"/>
      <c r="J96" s="77"/>
      <c r="K96" s="77"/>
      <c r="L96" s="77"/>
      <c r="M96" s="79"/>
      <c r="N96" s="77"/>
      <c r="O96" s="79"/>
      <c r="P96" s="77"/>
      <c r="Q96" s="79"/>
      <c r="R96" s="77"/>
      <c r="S96" s="79"/>
      <c r="T96" s="77"/>
      <c r="U96" s="79"/>
    </row>
    <row r="97" spans="1:27" ht="30">
      <c r="A97" s="33" t="s">
        <v>79</v>
      </c>
      <c r="B97">
        <v>42</v>
      </c>
      <c r="C97">
        <v>44</v>
      </c>
      <c r="D97">
        <v>46</v>
      </c>
      <c r="E97">
        <v>48</v>
      </c>
      <c r="F97">
        <v>50</v>
      </c>
      <c r="G97">
        <v>52</v>
      </c>
      <c r="H97">
        <v>54</v>
      </c>
      <c r="I97">
        <v>56</v>
      </c>
      <c r="J97">
        <v>58</v>
      </c>
      <c r="K97">
        <v>60</v>
      </c>
      <c r="L97">
        <v>62</v>
      </c>
      <c r="M97">
        <v>64</v>
      </c>
    </row>
    <row r="98" spans="1:27">
      <c r="A98" s="17" t="s">
        <v>19</v>
      </c>
      <c r="B98" s="39">
        <v>102</v>
      </c>
      <c r="C98" s="39">
        <v>105</v>
      </c>
      <c r="D98" s="39">
        <v>108</v>
      </c>
      <c r="E98" s="39">
        <v>111</v>
      </c>
      <c r="F98" s="39">
        <v>114</v>
      </c>
      <c r="G98" s="39">
        <v>117</v>
      </c>
      <c r="H98" s="39">
        <v>120</v>
      </c>
      <c r="I98" s="39">
        <v>123</v>
      </c>
      <c r="J98" s="39">
        <v>126</v>
      </c>
      <c r="K98" s="39">
        <v>129</v>
      </c>
      <c r="L98" s="39">
        <v>132</v>
      </c>
      <c r="M98" s="39">
        <v>135</v>
      </c>
      <c r="N98" s="39"/>
      <c r="O98" s="26"/>
      <c r="P98" s="39"/>
      <c r="Q98" s="26"/>
      <c r="R98" s="39"/>
      <c r="S98" s="26"/>
      <c r="T98" s="39"/>
      <c r="U98" s="26"/>
      <c r="V98" s="39"/>
      <c r="W98" s="26"/>
      <c r="X98" s="39"/>
      <c r="Y98" s="26"/>
      <c r="Z98" s="44"/>
      <c r="AA98" s="26"/>
    </row>
    <row r="99" spans="1:27">
      <c r="A99" s="17" t="s">
        <v>16</v>
      </c>
      <c r="B99" s="39">
        <v>44</v>
      </c>
      <c r="C99" s="39">
        <v>45</v>
      </c>
      <c r="D99" s="39">
        <v>46</v>
      </c>
      <c r="E99" s="41">
        <v>47</v>
      </c>
      <c r="F99" s="43">
        <v>48</v>
      </c>
      <c r="G99" s="39">
        <v>49</v>
      </c>
      <c r="H99" s="39">
        <v>50</v>
      </c>
      <c r="I99" s="39">
        <v>51</v>
      </c>
      <c r="J99" s="39">
        <v>52</v>
      </c>
      <c r="K99" s="39">
        <v>53</v>
      </c>
      <c r="L99" s="39">
        <v>54</v>
      </c>
      <c r="M99" s="39">
        <v>55</v>
      </c>
      <c r="N99" s="39"/>
      <c r="O99" s="26"/>
      <c r="P99" s="39"/>
      <c r="Q99" s="26"/>
      <c r="R99" s="39"/>
      <c r="S99" s="26"/>
      <c r="T99" s="39"/>
      <c r="U99" s="26"/>
      <c r="V99" s="39"/>
      <c r="W99" s="26"/>
      <c r="X99" s="39"/>
      <c r="Y99" s="26"/>
      <c r="Z99" s="44"/>
      <c r="AA99" s="26"/>
    </row>
    <row r="100" spans="1:27">
      <c r="A100" s="17" t="s">
        <v>53</v>
      </c>
      <c r="B100" s="39">
        <v>92</v>
      </c>
      <c r="C100" s="39">
        <v>95</v>
      </c>
      <c r="D100" s="39">
        <v>98</v>
      </c>
      <c r="E100" s="41">
        <v>101</v>
      </c>
      <c r="F100" s="43">
        <v>104</v>
      </c>
      <c r="G100" s="39">
        <v>107</v>
      </c>
      <c r="H100" s="39">
        <v>110</v>
      </c>
      <c r="I100" s="39">
        <v>113</v>
      </c>
      <c r="J100" s="39">
        <v>116</v>
      </c>
      <c r="K100" s="39">
        <v>119</v>
      </c>
      <c r="L100" s="39">
        <v>122</v>
      </c>
      <c r="M100" s="39">
        <v>125</v>
      </c>
      <c r="N100" s="81"/>
      <c r="O100" s="79"/>
      <c r="P100" s="81"/>
      <c r="Q100" s="79"/>
      <c r="R100" s="81"/>
      <c r="S100" s="79"/>
      <c r="T100" s="81"/>
      <c r="U100" s="79"/>
      <c r="V100" s="81"/>
      <c r="W100" s="79"/>
      <c r="X100" s="81"/>
      <c r="Y100" s="79"/>
      <c r="Z100" s="82"/>
      <c r="AA100" s="79"/>
    </row>
    <row r="101" spans="1:27">
      <c r="A101" s="73"/>
      <c r="B101" s="80"/>
      <c r="C101" s="80"/>
      <c r="D101" s="80"/>
      <c r="E101" s="84"/>
      <c r="F101" s="85"/>
      <c r="G101" s="80"/>
      <c r="H101" s="80"/>
      <c r="I101" s="80"/>
      <c r="J101" s="80"/>
      <c r="K101" s="81"/>
      <c r="L101" s="81"/>
      <c r="M101" s="81"/>
      <c r="N101" s="81"/>
      <c r="O101" s="79"/>
      <c r="P101" s="81"/>
      <c r="Q101" s="79"/>
      <c r="R101" s="81"/>
      <c r="S101" s="79"/>
      <c r="T101" s="81"/>
      <c r="U101" s="79"/>
      <c r="V101" s="81"/>
      <c r="W101" s="79"/>
      <c r="X101" s="81"/>
      <c r="Y101" s="79"/>
      <c r="Z101" s="82"/>
      <c r="AA101" s="79"/>
    </row>
    <row r="102" spans="1:27">
      <c r="A102" s="73"/>
      <c r="B102" s="80"/>
      <c r="C102" s="80"/>
      <c r="D102" s="80"/>
      <c r="E102" s="84"/>
      <c r="F102" s="85"/>
      <c r="G102" s="80"/>
      <c r="H102" s="80"/>
      <c r="I102" s="80"/>
      <c r="J102" s="80"/>
      <c r="K102" s="81"/>
      <c r="L102" s="81"/>
      <c r="M102" s="81"/>
      <c r="N102" s="81"/>
      <c r="O102" s="79"/>
      <c r="P102" s="81"/>
      <c r="Q102" s="79"/>
      <c r="R102" s="81"/>
      <c r="S102" s="79"/>
      <c r="T102" s="81"/>
      <c r="U102" s="79"/>
      <c r="V102" s="81"/>
      <c r="W102" s="79"/>
      <c r="X102" s="81"/>
      <c r="Y102" s="79"/>
      <c r="Z102" s="82"/>
      <c r="AA102" s="79"/>
    </row>
    <row r="103" spans="1:27" ht="30">
      <c r="A103" s="48" t="s">
        <v>80</v>
      </c>
      <c r="B103" s="18">
        <v>44</v>
      </c>
      <c r="C103" s="18">
        <v>46</v>
      </c>
      <c r="D103" s="18">
        <v>48</v>
      </c>
      <c r="E103" s="18">
        <v>50</v>
      </c>
      <c r="F103" s="18">
        <v>52</v>
      </c>
      <c r="G103" s="18">
        <v>54</v>
      </c>
      <c r="H103" s="18">
        <v>56</v>
      </c>
      <c r="I103" s="18">
        <v>58</v>
      </c>
      <c r="J103" s="18">
        <v>60</v>
      </c>
    </row>
    <row r="104" spans="1:27">
      <c r="A104" s="17" t="s">
        <v>19</v>
      </c>
      <c r="B104" s="20">
        <v>99.5</v>
      </c>
      <c r="C104" s="20">
        <v>102.5</v>
      </c>
      <c r="D104" s="20">
        <v>105.5</v>
      </c>
      <c r="E104" s="20">
        <v>108.5</v>
      </c>
      <c r="F104" s="20">
        <v>111.5</v>
      </c>
      <c r="G104" s="20">
        <v>114.5</v>
      </c>
      <c r="H104" s="20">
        <v>117.5</v>
      </c>
      <c r="I104" s="20">
        <v>120.5</v>
      </c>
      <c r="J104" s="20">
        <v>123.5</v>
      </c>
      <c r="K104" s="20"/>
      <c r="L104" s="20"/>
      <c r="M104" s="25"/>
      <c r="N104" s="24"/>
      <c r="O104" s="21"/>
      <c r="P104" s="24"/>
      <c r="Q104" s="21"/>
      <c r="R104" s="20"/>
      <c r="S104" s="21"/>
      <c r="T104" s="20"/>
      <c r="U104" s="26"/>
    </row>
    <row r="105" spans="1:27">
      <c r="A105" s="17" t="s">
        <v>39</v>
      </c>
      <c r="B105" s="20">
        <v>44.5</v>
      </c>
      <c r="C105" s="20">
        <v>45.5</v>
      </c>
      <c r="D105" s="52">
        <v>46.5</v>
      </c>
      <c r="E105" s="20">
        <v>47.5</v>
      </c>
      <c r="F105" s="20">
        <v>48.5</v>
      </c>
      <c r="G105" s="20">
        <v>49.5</v>
      </c>
      <c r="H105" s="24">
        <v>50.5</v>
      </c>
      <c r="I105" s="24">
        <v>51.5</v>
      </c>
      <c r="J105" s="20">
        <v>52.5</v>
      </c>
      <c r="K105" s="20"/>
      <c r="L105" s="20"/>
      <c r="M105" s="25"/>
      <c r="N105" s="24"/>
      <c r="O105" s="21"/>
      <c r="P105" s="24"/>
      <c r="Q105" s="21"/>
      <c r="R105" s="20"/>
      <c r="S105" s="21"/>
      <c r="T105" s="20"/>
      <c r="U105" s="26"/>
    </row>
    <row r="106" spans="1:27">
      <c r="A106" s="17" t="s">
        <v>41</v>
      </c>
      <c r="B106" s="20">
        <v>88</v>
      </c>
      <c r="C106" s="20">
        <v>91</v>
      </c>
      <c r="D106" s="52">
        <v>94</v>
      </c>
      <c r="E106" s="20">
        <v>97</v>
      </c>
      <c r="F106" s="20">
        <v>100</v>
      </c>
      <c r="G106" s="53">
        <v>103</v>
      </c>
      <c r="H106" s="24">
        <v>106</v>
      </c>
      <c r="I106" s="20">
        <v>109</v>
      </c>
      <c r="J106" s="20">
        <v>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B1:BL866"/>
  <sheetViews>
    <sheetView tabSelected="1" topLeftCell="A59" zoomScaleNormal="100" workbookViewId="0">
      <selection activeCell="P67" sqref="P67:T68"/>
    </sheetView>
  </sheetViews>
  <sheetFormatPr baseColWidth="10" defaultColWidth="9" defaultRowHeight="17"/>
  <cols>
    <col min="1" max="1" width="2.1640625" style="2" customWidth="1"/>
    <col min="2" max="25" width="2.6640625" style="2" customWidth="1"/>
    <col min="26" max="26" width="4.6640625" style="2" customWidth="1"/>
    <col min="27" max="27" width="4.1640625" style="2" customWidth="1"/>
    <col min="28" max="56" width="2.6640625" style="2" customWidth="1"/>
    <col min="57" max="57" width="3.1640625" style="2" customWidth="1"/>
    <col min="58" max="59" width="2.6640625" style="2" customWidth="1"/>
    <col min="60" max="60" width="4.1640625" style="2" customWidth="1"/>
    <col min="61" max="61" width="3.1640625" style="2" customWidth="1"/>
    <col min="62" max="98" width="2.6640625" style="2" customWidth="1"/>
    <col min="99" max="16384" width="9" style="2"/>
  </cols>
  <sheetData>
    <row r="1" spans="2:63" ht="22.5" customHeight="1" thickBot="1">
      <c r="B1" s="308" t="s">
        <v>108</v>
      </c>
      <c r="C1" s="308"/>
      <c r="D1" s="308"/>
      <c r="E1" s="308"/>
      <c r="F1" s="308"/>
      <c r="G1" s="308"/>
      <c r="H1" s="308"/>
      <c r="I1" s="308"/>
      <c r="J1" s="308"/>
      <c r="K1" s="308"/>
      <c r="L1" s="311" t="s">
        <v>161</v>
      </c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09" t="s">
        <v>109</v>
      </c>
      <c r="AI1" s="309"/>
      <c r="AJ1" s="309"/>
      <c r="AK1" s="309"/>
      <c r="AL1" s="309"/>
      <c r="AM1" s="309"/>
      <c r="AN1" s="309"/>
      <c r="AO1" s="309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1"/>
    </row>
    <row r="2" spans="2:63" ht="24" customHeight="1" thickBot="1"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09"/>
      <c r="AI2" s="309"/>
      <c r="AJ2" s="309"/>
      <c r="AK2" s="309"/>
      <c r="AL2" s="309"/>
      <c r="AM2" s="309"/>
      <c r="AN2" s="309"/>
      <c r="AO2" s="309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1"/>
    </row>
    <row r="3" spans="2:63" ht="27.75" customHeight="1">
      <c r="B3" s="96" t="s">
        <v>34</v>
      </c>
      <c r="C3" s="97"/>
      <c r="D3" s="97"/>
      <c r="E3" s="97"/>
      <c r="F3" s="97"/>
      <c r="G3" s="97"/>
      <c r="H3" s="97"/>
      <c r="I3" s="98"/>
      <c r="J3" s="102"/>
      <c r="K3" s="103"/>
      <c r="L3" s="103"/>
      <c r="M3" s="103"/>
      <c r="N3" s="103"/>
      <c r="O3" s="103"/>
      <c r="P3" s="103"/>
      <c r="Q3" s="103"/>
      <c r="R3" s="103"/>
      <c r="S3" s="104"/>
      <c r="T3" s="114" t="s">
        <v>148</v>
      </c>
      <c r="U3" s="115"/>
      <c r="V3" s="115"/>
      <c r="W3" s="115"/>
      <c r="X3" s="116"/>
      <c r="Y3" s="108"/>
      <c r="Z3" s="109"/>
      <c r="AA3" s="109"/>
      <c r="AB3" s="109"/>
      <c r="AC3" s="109"/>
      <c r="AD3" s="109"/>
      <c r="AE3" s="109"/>
      <c r="AF3" s="109"/>
      <c r="AG3" s="110"/>
      <c r="AH3" s="120" t="s">
        <v>149</v>
      </c>
      <c r="AI3" s="121"/>
      <c r="AJ3" s="121"/>
      <c r="AK3" s="121"/>
      <c r="AL3" s="121"/>
      <c r="AM3" s="121"/>
      <c r="AN3" s="121"/>
      <c r="AO3" s="122"/>
      <c r="AP3" s="126" t="s">
        <v>163</v>
      </c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8"/>
    </row>
    <row r="4" spans="2:63" ht="27.75" customHeight="1" thickBot="1">
      <c r="B4" s="99"/>
      <c r="C4" s="100"/>
      <c r="D4" s="100"/>
      <c r="E4" s="100"/>
      <c r="F4" s="100"/>
      <c r="G4" s="100"/>
      <c r="H4" s="100"/>
      <c r="I4" s="101"/>
      <c r="J4" s="105"/>
      <c r="K4" s="106"/>
      <c r="L4" s="106"/>
      <c r="M4" s="106"/>
      <c r="N4" s="106"/>
      <c r="O4" s="106"/>
      <c r="P4" s="106"/>
      <c r="Q4" s="106"/>
      <c r="R4" s="106"/>
      <c r="S4" s="107"/>
      <c r="T4" s="117"/>
      <c r="U4" s="118"/>
      <c r="V4" s="118"/>
      <c r="W4" s="118"/>
      <c r="X4" s="119"/>
      <c r="Y4" s="111"/>
      <c r="Z4" s="112"/>
      <c r="AA4" s="112"/>
      <c r="AB4" s="112"/>
      <c r="AC4" s="112"/>
      <c r="AD4" s="112"/>
      <c r="AE4" s="112"/>
      <c r="AF4" s="112"/>
      <c r="AG4" s="113"/>
      <c r="AH4" s="123"/>
      <c r="AI4" s="124"/>
      <c r="AJ4" s="124"/>
      <c r="AK4" s="124"/>
      <c r="AL4" s="124"/>
      <c r="AM4" s="124"/>
      <c r="AN4" s="124"/>
      <c r="AO4" s="125"/>
      <c r="AP4" s="129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2:63" ht="9" customHeight="1" thickBot="1"/>
    <row r="6" spans="2:63" ht="21.75" customHeight="1" thickBot="1">
      <c r="B6" s="265" t="s">
        <v>6</v>
      </c>
      <c r="C6" s="265"/>
      <c r="D6" s="265"/>
      <c r="E6" s="162" t="s">
        <v>112</v>
      </c>
      <c r="F6" s="162"/>
      <c r="G6" s="162"/>
      <c r="H6" s="312"/>
      <c r="I6" s="312"/>
      <c r="J6" s="312"/>
      <c r="K6" s="312"/>
      <c r="L6" s="162" t="s">
        <v>113</v>
      </c>
      <c r="M6" s="162"/>
      <c r="N6" s="162"/>
      <c r="O6" s="150"/>
      <c r="P6" s="151"/>
      <c r="Q6" s="151"/>
      <c r="R6" s="151"/>
      <c r="S6" s="152"/>
      <c r="T6" s="156" t="s">
        <v>111</v>
      </c>
      <c r="U6" s="157"/>
      <c r="V6" s="157"/>
      <c r="W6" s="156"/>
      <c r="X6" s="157"/>
      <c r="Y6" s="157"/>
      <c r="Z6" s="157"/>
      <c r="AA6" s="160"/>
      <c r="AB6" s="162" t="s">
        <v>7</v>
      </c>
      <c r="AC6" s="162"/>
      <c r="AD6" s="162"/>
      <c r="AE6" s="163"/>
      <c r="AF6" s="164"/>
      <c r="AG6" s="164"/>
      <c r="AH6" s="164"/>
      <c r="AI6" s="164"/>
      <c r="AJ6" s="165"/>
      <c r="AK6" s="169" t="s">
        <v>150</v>
      </c>
      <c r="AL6" s="170"/>
      <c r="AM6" s="171"/>
      <c r="AN6" s="269"/>
      <c r="AO6" s="270"/>
      <c r="AP6" s="270"/>
      <c r="AQ6" s="175" t="s">
        <v>151</v>
      </c>
      <c r="AR6" s="176"/>
      <c r="AS6" s="267" t="s">
        <v>152</v>
      </c>
      <c r="AT6" s="267"/>
      <c r="AU6" s="267"/>
      <c r="AV6" s="268"/>
      <c r="AW6" s="268"/>
      <c r="AX6" s="268"/>
      <c r="AY6" s="268"/>
      <c r="AZ6" s="266" t="s">
        <v>8</v>
      </c>
      <c r="BA6" s="266"/>
      <c r="BB6" s="296" t="s">
        <v>153</v>
      </c>
      <c r="BC6" s="296"/>
      <c r="BD6" s="296"/>
      <c r="BE6" s="268"/>
      <c r="BF6" s="268"/>
      <c r="BG6" s="268"/>
      <c r="BH6" s="268"/>
      <c r="BI6" s="266" t="s">
        <v>8</v>
      </c>
      <c r="BJ6" s="266"/>
    </row>
    <row r="7" spans="2:63" ht="21.75" customHeight="1" thickBot="1">
      <c r="B7" s="265"/>
      <c r="C7" s="265"/>
      <c r="D7" s="265"/>
      <c r="E7" s="162"/>
      <c r="F7" s="162"/>
      <c r="G7" s="162"/>
      <c r="H7" s="312"/>
      <c r="I7" s="312"/>
      <c r="J7" s="312"/>
      <c r="K7" s="312"/>
      <c r="L7" s="162"/>
      <c r="M7" s="162"/>
      <c r="N7" s="162"/>
      <c r="O7" s="153"/>
      <c r="P7" s="154"/>
      <c r="Q7" s="154"/>
      <c r="R7" s="154"/>
      <c r="S7" s="155"/>
      <c r="T7" s="158"/>
      <c r="U7" s="159"/>
      <c r="V7" s="159"/>
      <c r="W7" s="158"/>
      <c r="X7" s="159"/>
      <c r="Y7" s="159"/>
      <c r="Z7" s="159"/>
      <c r="AA7" s="161"/>
      <c r="AB7" s="162"/>
      <c r="AC7" s="162"/>
      <c r="AD7" s="162"/>
      <c r="AE7" s="166"/>
      <c r="AF7" s="167"/>
      <c r="AG7" s="167"/>
      <c r="AH7" s="167"/>
      <c r="AI7" s="167"/>
      <c r="AJ7" s="168"/>
      <c r="AK7" s="172"/>
      <c r="AL7" s="173"/>
      <c r="AM7" s="174"/>
      <c r="AN7" s="271"/>
      <c r="AO7" s="272"/>
      <c r="AP7" s="272"/>
      <c r="AQ7" s="177"/>
      <c r="AR7" s="178"/>
      <c r="AS7" s="267"/>
      <c r="AT7" s="267"/>
      <c r="AU7" s="267"/>
      <c r="AV7" s="268"/>
      <c r="AW7" s="268"/>
      <c r="AX7" s="268"/>
      <c r="AY7" s="268"/>
      <c r="AZ7" s="266"/>
      <c r="BA7" s="266"/>
      <c r="BB7" s="296"/>
      <c r="BC7" s="296"/>
      <c r="BD7" s="296"/>
      <c r="BE7" s="268"/>
      <c r="BF7" s="268"/>
      <c r="BG7" s="268"/>
      <c r="BH7" s="268"/>
      <c r="BI7" s="266"/>
      <c r="BJ7" s="266"/>
    </row>
    <row r="8" spans="2:63" ht="5.25" customHeight="1"/>
    <row r="9" spans="2:63" ht="2.25" customHeight="1" thickBot="1"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</row>
    <row r="10" spans="2:63" ht="7.5" hidden="1" customHeight="1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2:63" ht="23.25" customHeight="1">
      <c r="B11" s="276" t="s">
        <v>83</v>
      </c>
      <c r="C11" s="277"/>
      <c r="D11" s="277"/>
      <c r="E11" s="277"/>
      <c r="F11" s="277"/>
      <c r="G11" s="277"/>
      <c r="H11" s="277"/>
      <c r="I11" s="277"/>
      <c r="J11" s="277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5" t="s">
        <v>84</v>
      </c>
      <c r="V11" s="285"/>
      <c r="W11" s="286"/>
      <c r="Z11" s="297" t="s">
        <v>85</v>
      </c>
      <c r="AA11" s="298"/>
      <c r="AB11" s="298"/>
      <c r="AC11" s="298"/>
      <c r="AD11" s="295" t="s">
        <v>11</v>
      </c>
      <c r="AE11" s="295"/>
      <c r="AF11" s="295"/>
      <c r="AG11" s="295"/>
      <c r="AH11" s="295"/>
      <c r="AI11" s="295"/>
      <c r="AJ11" s="295"/>
      <c r="AK11" s="295"/>
      <c r="AL11" s="304" t="s">
        <v>88</v>
      </c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21"/>
      <c r="AX11" s="295" t="s">
        <v>87</v>
      </c>
      <c r="AY11" s="295"/>
      <c r="AZ11" s="295"/>
      <c r="BA11" s="295"/>
      <c r="BB11" s="295"/>
      <c r="BC11" s="295"/>
      <c r="BD11" s="304"/>
      <c r="BE11" s="304" t="s">
        <v>86</v>
      </c>
      <c r="BF11" s="305"/>
      <c r="BG11" s="305"/>
      <c r="BH11" s="305"/>
      <c r="BI11" s="305"/>
      <c r="BJ11" s="306"/>
    </row>
    <row r="12" spans="2:63" ht="34.5" customHeight="1">
      <c r="B12" s="278"/>
      <c r="C12" s="279"/>
      <c r="D12" s="279"/>
      <c r="E12" s="279"/>
      <c r="F12" s="279"/>
      <c r="G12" s="279"/>
      <c r="H12" s="279"/>
      <c r="I12" s="279"/>
      <c r="J12" s="279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7"/>
      <c r="V12" s="287"/>
      <c r="W12" s="288"/>
      <c r="Z12" s="299"/>
      <c r="AA12" s="300"/>
      <c r="AB12" s="300"/>
      <c r="AC12" s="300"/>
      <c r="AD12" s="291"/>
      <c r="AE12" s="291"/>
      <c r="AF12" s="291"/>
      <c r="AG12" s="291"/>
      <c r="AH12" s="291"/>
      <c r="AI12" s="291"/>
      <c r="AJ12" s="291"/>
      <c r="AK12" s="291"/>
      <c r="AL12" s="322"/>
      <c r="AM12" s="323"/>
      <c r="AN12" s="323"/>
      <c r="AO12" s="323"/>
      <c r="AP12" s="323"/>
      <c r="AQ12" s="323"/>
      <c r="AR12" s="323"/>
      <c r="AS12" s="323"/>
      <c r="AT12" s="323"/>
      <c r="AU12" s="323"/>
      <c r="AV12" s="323"/>
      <c r="AW12" s="324"/>
      <c r="AX12" s="291"/>
      <c r="AY12" s="291"/>
      <c r="AZ12" s="291"/>
      <c r="BA12" s="291"/>
      <c r="BB12" s="291"/>
      <c r="BC12" s="291"/>
      <c r="BD12" s="292"/>
      <c r="BE12" s="322"/>
      <c r="BF12" s="323"/>
      <c r="BG12" s="323"/>
      <c r="BH12" s="323"/>
      <c r="BI12" s="323"/>
      <c r="BJ12" s="328"/>
    </row>
    <row r="13" spans="2:63" ht="36.75" customHeight="1" thickBot="1">
      <c r="B13" s="280"/>
      <c r="C13" s="281"/>
      <c r="D13" s="281"/>
      <c r="E13" s="281"/>
      <c r="F13" s="281"/>
      <c r="G13" s="281"/>
      <c r="H13" s="281"/>
      <c r="I13" s="281"/>
      <c r="J13" s="281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9"/>
      <c r="V13" s="289"/>
      <c r="W13" s="290"/>
      <c r="Z13" s="301"/>
      <c r="AA13" s="302"/>
      <c r="AB13" s="302"/>
      <c r="AC13" s="302"/>
      <c r="AD13" s="293"/>
      <c r="AE13" s="293"/>
      <c r="AF13" s="293"/>
      <c r="AG13" s="293"/>
      <c r="AH13" s="293"/>
      <c r="AI13" s="293"/>
      <c r="AJ13" s="293"/>
      <c r="AK13" s="293"/>
      <c r="AL13" s="325"/>
      <c r="AM13" s="326"/>
      <c r="AN13" s="326"/>
      <c r="AO13" s="326"/>
      <c r="AP13" s="326"/>
      <c r="AQ13" s="326"/>
      <c r="AR13" s="326"/>
      <c r="AS13" s="326"/>
      <c r="AT13" s="326"/>
      <c r="AU13" s="326"/>
      <c r="AV13" s="326"/>
      <c r="AW13" s="327"/>
      <c r="AX13" s="293"/>
      <c r="AY13" s="293"/>
      <c r="AZ13" s="293"/>
      <c r="BA13" s="293"/>
      <c r="BB13" s="293"/>
      <c r="BC13" s="293"/>
      <c r="BD13" s="294"/>
      <c r="BE13" s="325"/>
      <c r="BF13" s="326"/>
      <c r="BG13" s="326"/>
      <c r="BH13" s="326"/>
      <c r="BI13" s="326"/>
      <c r="BJ13" s="329"/>
    </row>
    <row r="14" spans="2:63" ht="9" customHeight="1" thickBo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X14" s="4"/>
      <c r="Y14" s="4"/>
      <c r="Z14" s="4"/>
      <c r="AA14" s="4"/>
      <c r="AB14" s="4"/>
      <c r="AC14" s="4"/>
      <c r="AD14" s="4"/>
      <c r="AE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2:63" ht="18.75" customHeight="1">
      <c r="B15" s="313" t="s">
        <v>114</v>
      </c>
      <c r="C15" s="313"/>
      <c r="D15" s="313"/>
      <c r="E15" s="313"/>
      <c r="F15" s="313"/>
      <c r="G15" s="313"/>
      <c r="H15" s="314" t="s">
        <v>147</v>
      </c>
      <c r="I15" s="314"/>
      <c r="J15" s="314"/>
      <c r="K15" s="314"/>
      <c r="L15" s="314"/>
      <c r="M15" s="314"/>
      <c r="N15" s="315"/>
      <c r="Q15" s="96" t="s">
        <v>154</v>
      </c>
      <c r="R15" s="248"/>
      <c r="S15" s="248"/>
      <c r="T15" s="248"/>
      <c r="U15" s="90"/>
      <c r="V15" s="90"/>
      <c r="W15" s="90"/>
      <c r="X15" s="91"/>
      <c r="AA15" s="354" t="s">
        <v>115</v>
      </c>
      <c r="AB15" s="354"/>
      <c r="AC15" s="354"/>
      <c r="AD15" s="336" t="s">
        <v>120</v>
      </c>
      <c r="AE15" s="336"/>
      <c r="AF15" s="336"/>
      <c r="AG15" s="336" t="s">
        <v>121</v>
      </c>
      <c r="AH15" s="336"/>
      <c r="AI15" s="336"/>
      <c r="AJ15" s="336" t="s">
        <v>122</v>
      </c>
      <c r="AK15" s="336"/>
      <c r="AL15" s="336"/>
      <c r="AM15" s="336" t="s">
        <v>123</v>
      </c>
      <c r="AN15" s="336"/>
      <c r="AO15" s="336"/>
      <c r="AP15" s="336" t="s">
        <v>124</v>
      </c>
      <c r="AQ15" s="336"/>
      <c r="AR15" s="336"/>
      <c r="AS15" s="8"/>
      <c r="AT15" s="330" t="s">
        <v>160</v>
      </c>
      <c r="AU15" s="330"/>
      <c r="AV15" s="330"/>
      <c r="AW15" s="330"/>
      <c r="AX15" s="332" t="s">
        <v>125</v>
      </c>
      <c r="AY15" s="332"/>
      <c r="AZ15" s="332"/>
      <c r="BA15" s="332"/>
      <c r="BB15" s="334" t="s">
        <v>126</v>
      </c>
      <c r="BC15" s="334"/>
      <c r="BD15" s="334"/>
      <c r="BE15" s="334"/>
      <c r="BF15" s="334"/>
      <c r="BG15" s="332" t="s">
        <v>127</v>
      </c>
      <c r="BH15" s="332"/>
      <c r="BI15" s="332"/>
      <c r="BJ15" s="332"/>
    </row>
    <row r="16" spans="2:63" ht="18.75" customHeight="1" thickBot="1">
      <c r="B16" s="313"/>
      <c r="C16" s="313"/>
      <c r="D16" s="313"/>
      <c r="E16" s="313"/>
      <c r="F16" s="313"/>
      <c r="G16" s="313"/>
      <c r="H16" s="316"/>
      <c r="I16" s="316"/>
      <c r="J16" s="316"/>
      <c r="K16" s="316"/>
      <c r="L16" s="316"/>
      <c r="M16" s="316"/>
      <c r="N16" s="317"/>
      <c r="Q16" s="352"/>
      <c r="R16" s="353"/>
      <c r="S16" s="353"/>
      <c r="T16" s="353"/>
      <c r="U16" s="88"/>
      <c r="V16" s="88"/>
      <c r="W16" s="88"/>
      <c r="X16" s="89"/>
      <c r="AA16" s="355"/>
      <c r="AB16" s="355"/>
      <c r="AC16" s="355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8"/>
      <c r="AT16" s="331"/>
      <c r="AU16" s="331"/>
      <c r="AV16" s="331"/>
      <c r="AW16" s="331"/>
      <c r="AX16" s="333"/>
      <c r="AY16" s="333"/>
      <c r="AZ16" s="333"/>
      <c r="BA16" s="333"/>
      <c r="BB16" s="335"/>
      <c r="BC16" s="335"/>
      <c r="BD16" s="335"/>
      <c r="BE16" s="335"/>
      <c r="BF16" s="335"/>
      <c r="BG16" s="333"/>
      <c r="BH16" s="333"/>
      <c r="BI16" s="333"/>
      <c r="BJ16" s="333"/>
    </row>
    <row r="17" spans="2:63" ht="9" customHeight="1" thickBo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X17" s="4"/>
      <c r="Y17" s="4"/>
      <c r="Z17" s="4"/>
      <c r="AA17" s="4"/>
      <c r="AB17" s="4"/>
      <c r="AC17" s="4"/>
      <c r="AD17" s="4"/>
      <c r="AE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2:63" ht="19.5" customHeight="1" thickBot="1">
      <c r="B18" s="169" t="s">
        <v>119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1"/>
      <c r="Z18" s="5"/>
      <c r="AA18" s="318" t="s">
        <v>116</v>
      </c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  <c r="AZ18" s="319"/>
      <c r="BA18" s="319"/>
      <c r="BB18" s="319"/>
      <c r="BC18" s="319"/>
      <c r="BD18" s="319"/>
      <c r="BE18" s="319"/>
      <c r="BF18" s="319"/>
      <c r="BG18" s="319"/>
      <c r="BH18" s="319"/>
      <c r="BI18" s="319"/>
      <c r="BJ18" s="320"/>
    </row>
    <row r="19" spans="2:63" ht="18" thickBot="1">
      <c r="B19" s="273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5"/>
      <c r="Z19" s="5"/>
      <c r="AA19" s="307" t="s">
        <v>12</v>
      </c>
      <c r="AB19" s="307"/>
      <c r="AC19" s="307"/>
      <c r="AD19" s="307"/>
      <c r="AE19" s="307"/>
      <c r="AF19" s="307"/>
      <c r="AG19" s="307" t="s">
        <v>94</v>
      </c>
      <c r="AH19" s="307"/>
      <c r="AI19" s="307"/>
      <c r="AJ19" s="307"/>
      <c r="AK19" s="307"/>
      <c r="AL19" s="307"/>
      <c r="AM19" s="307"/>
      <c r="AN19" s="307" t="s">
        <v>95</v>
      </c>
      <c r="AO19" s="307"/>
      <c r="AP19" s="307"/>
      <c r="AQ19" s="307"/>
      <c r="AR19" s="307"/>
      <c r="AS19" s="307"/>
      <c r="AT19" s="307"/>
      <c r="AU19" s="307" t="s">
        <v>96</v>
      </c>
      <c r="AV19" s="307"/>
      <c r="AW19" s="307"/>
      <c r="AX19" s="307"/>
      <c r="AY19" s="307"/>
      <c r="AZ19" s="307"/>
      <c r="BA19" s="307" t="s">
        <v>93</v>
      </c>
      <c r="BB19" s="307"/>
      <c r="BC19" s="307"/>
      <c r="BD19" s="307"/>
      <c r="BE19" s="307"/>
      <c r="BF19" s="307" t="s">
        <v>13</v>
      </c>
      <c r="BG19" s="307"/>
      <c r="BH19" s="307"/>
      <c r="BI19" s="307"/>
      <c r="BJ19" s="307"/>
    </row>
    <row r="20" spans="2:63" ht="18" customHeight="1" thickBot="1">
      <c r="B20" s="253" t="s">
        <v>14</v>
      </c>
      <c r="C20" s="254"/>
      <c r="D20" s="254"/>
      <c r="E20" s="254"/>
      <c r="F20" s="241" t="s">
        <v>128</v>
      </c>
      <c r="G20" s="242"/>
      <c r="H20" s="242"/>
      <c r="I20" s="242"/>
      <c r="J20" s="242"/>
      <c r="K20" s="241" t="s">
        <v>129</v>
      </c>
      <c r="L20" s="242"/>
      <c r="M20" s="242"/>
      <c r="N20" s="242"/>
      <c r="O20" s="242"/>
      <c r="P20" s="243" t="s">
        <v>130</v>
      </c>
      <c r="Q20" s="244"/>
      <c r="R20" s="244"/>
      <c r="S20" s="244"/>
      <c r="T20" s="245"/>
      <c r="U20" s="241" t="s">
        <v>131</v>
      </c>
      <c r="V20" s="242"/>
      <c r="W20" s="242"/>
      <c r="X20" s="242"/>
      <c r="Y20" s="246"/>
      <c r="Z20" s="6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7"/>
    </row>
    <row r="21" spans="2:63" ht="20" customHeight="1" thickBot="1">
      <c r="B21" s="189" t="s">
        <v>15</v>
      </c>
      <c r="C21" s="190"/>
      <c r="D21" s="190"/>
      <c r="E21" s="190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79"/>
      <c r="Q21" s="180"/>
      <c r="R21" s="180"/>
      <c r="S21" s="180"/>
      <c r="T21" s="181"/>
      <c r="U21" s="186" t="s">
        <v>167</v>
      </c>
      <c r="V21" s="187"/>
      <c r="W21" s="187"/>
      <c r="X21" s="187"/>
      <c r="Y21" s="188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7"/>
    </row>
    <row r="22" spans="2:63" ht="20" customHeight="1" thickBot="1">
      <c r="B22" s="189"/>
      <c r="C22" s="190"/>
      <c r="D22" s="190"/>
      <c r="E22" s="190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2"/>
      <c r="Q22" s="183"/>
      <c r="R22" s="183"/>
      <c r="S22" s="183"/>
      <c r="T22" s="184"/>
      <c r="U22" s="187"/>
      <c r="V22" s="187"/>
      <c r="W22" s="187"/>
      <c r="X22" s="187"/>
      <c r="Y22" s="188"/>
      <c r="AO22" s="147" t="s">
        <v>32</v>
      </c>
      <c r="AP22" s="148"/>
      <c r="AQ22" s="148"/>
      <c r="AR22" s="148"/>
      <c r="AS22" s="148"/>
      <c r="AT22" s="149"/>
      <c r="AV22" s="375" t="s">
        <v>33</v>
      </c>
      <c r="AW22" s="376"/>
      <c r="AX22" s="376"/>
      <c r="AY22" s="377"/>
    </row>
    <row r="23" spans="2:63" ht="20" customHeight="1" thickBot="1">
      <c r="B23" s="189" t="s">
        <v>16</v>
      </c>
      <c r="C23" s="190"/>
      <c r="D23" s="190"/>
      <c r="E23" s="190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79"/>
      <c r="Q23" s="180"/>
      <c r="R23" s="180"/>
      <c r="S23" s="180"/>
      <c r="T23" s="181"/>
      <c r="U23" s="186" t="s">
        <v>167</v>
      </c>
      <c r="V23" s="187"/>
      <c r="W23" s="187"/>
      <c r="X23" s="187"/>
      <c r="Y23" s="188"/>
      <c r="AA23" s="307" t="s">
        <v>102</v>
      </c>
      <c r="AB23" s="307"/>
      <c r="AC23" s="307"/>
      <c r="AD23" s="307"/>
      <c r="AE23" s="307"/>
      <c r="AF23" s="307"/>
      <c r="AO23" s="141" t="s">
        <v>155</v>
      </c>
      <c r="AP23" s="142"/>
      <c r="AQ23" s="142"/>
      <c r="AR23" s="142"/>
      <c r="AS23" s="142"/>
      <c r="AT23" s="143"/>
      <c r="AV23" s="211"/>
      <c r="AW23" s="180"/>
      <c r="AX23" s="180"/>
      <c r="AY23" s="212"/>
    </row>
    <row r="24" spans="2:63" ht="20" customHeight="1" thickBot="1">
      <c r="B24" s="189"/>
      <c r="C24" s="190"/>
      <c r="D24" s="190"/>
      <c r="E24" s="190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2"/>
      <c r="Q24" s="183"/>
      <c r="R24" s="183"/>
      <c r="S24" s="183"/>
      <c r="T24" s="184"/>
      <c r="U24" s="187"/>
      <c r="V24" s="187"/>
      <c r="W24" s="187"/>
      <c r="X24" s="187"/>
      <c r="Y24" s="188"/>
      <c r="AA24" s="357" t="s">
        <v>2</v>
      </c>
      <c r="AB24" s="358"/>
      <c r="AC24" s="358"/>
      <c r="AD24" s="358"/>
      <c r="AE24" s="358"/>
      <c r="AF24" s="358"/>
      <c r="AO24" s="144"/>
      <c r="AP24" s="145"/>
      <c r="AQ24" s="145"/>
      <c r="AR24" s="145"/>
      <c r="AS24" s="145"/>
      <c r="AT24" s="146"/>
      <c r="AV24" s="356"/>
      <c r="AW24" s="192"/>
      <c r="AX24" s="192"/>
      <c r="AY24" s="215"/>
      <c r="BE24" s="199" t="s">
        <v>106</v>
      </c>
      <c r="BF24" s="200"/>
      <c r="BG24" s="200"/>
      <c r="BH24" s="200"/>
      <c r="BI24" s="200"/>
      <c r="BJ24" s="201"/>
    </row>
    <row r="25" spans="2:63" ht="20" customHeight="1" thickBot="1">
      <c r="B25" s="189" t="s">
        <v>17</v>
      </c>
      <c r="C25" s="190"/>
      <c r="D25" s="190"/>
      <c r="E25" s="190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79"/>
      <c r="Q25" s="180"/>
      <c r="R25" s="180"/>
      <c r="S25" s="180"/>
      <c r="T25" s="181"/>
      <c r="U25" s="186" t="s">
        <v>167</v>
      </c>
      <c r="V25" s="187"/>
      <c r="W25" s="187"/>
      <c r="X25" s="187"/>
      <c r="Y25" s="188"/>
      <c r="AA25" s="357"/>
      <c r="AB25" s="359"/>
      <c r="AC25" s="359"/>
      <c r="AD25" s="359"/>
      <c r="AE25" s="359"/>
      <c r="AF25" s="359"/>
      <c r="BE25" s="360" t="s">
        <v>0</v>
      </c>
      <c r="BF25" s="348"/>
      <c r="BG25" s="348"/>
      <c r="BH25" s="348"/>
      <c r="BI25" s="348"/>
      <c r="BJ25" s="349"/>
    </row>
    <row r="26" spans="2:63" ht="20" customHeight="1" thickBot="1">
      <c r="B26" s="189"/>
      <c r="C26" s="190"/>
      <c r="D26" s="190"/>
      <c r="E26" s="190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2"/>
      <c r="Q26" s="183"/>
      <c r="R26" s="183"/>
      <c r="S26" s="183"/>
      <c r="T26" s="184"/>
      <c r="U26" s="187"/>
      <c r="V26" s="187"/>
      <c r="W26" s="187"/>
      <c r="X26" s="187"/>
      <c r="Y26" s="188"/>
      <c r="AA26" s="378" t="s">
        <v>101</v>
      </c>
      <c r="AB26" s="359"/>
      <c r="AC26" s="359"/>
      <c r="AD26" s="359"/>
      <c r="AE26" s="359"/>
      <c r="AF26" s="359"/>
      <c r="BE26" s="361"/>
      <c r="BF26" s="350"/>
      <c r="BG26" s="350"/>
      <c r="BH26" s="350"/>
      <c r="BI26" s="350"/>
      <c r="BJ26" s="351"/>
    </row>
    <row r="27" spans="2:63" ht="20" customHeight="1" thickBot="1">
      <c r="B27" s="189" t="s">
        <v>18</v>
      </c>
      <c r="C27" s="190"/>
      <c r="D27" s="190"/>
      <c r="E27" s="190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79"/>
      <c r="Q27" s="180"/>
      <c r="R27" s="180"/>
      <c r="S27" s="180"/>
      <c r="T27" s="181"/>
      <c r="U27" s="186" t="s">
        <v>167</v>
      </c>
      <c r="V27" s="187"/>
      <c r="W27" s="187"/>
      <c r="X27" s="187"/>
      <c r="Y27" s="188"/>
      <c r="AA27" s="378"/>
      <c r="AB27" s="359"/>
      <c r="AC27" s="359"/>
      <c r="AD27" s="359"/>
      <c r="AE27" s="359"/>
      <c r="AF27" s="359"/>
    </row>
    <row r="28" spans="2:63" ht="20" customHeight="1" thickBot="1">
      <c r="B28" s="189"/>
      <c r="C28" s="190"/>
      <c r="D28" s="190"/>
      <c r="E28" s="190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2"/>
      <c r="Q28" s="183"/>
      <c r="R28" s="183"/>
      <c r="S28" s="183"/>
      <c r="T28" s="184"/>
      <c r="U28" s="187"/>
      <c r="V28" s="187"/>
      <c r="W28" s="187"/>
      <c r="X28" s="187"/>
      <c r="Y28" s="188"/>
      <c r="AA28" s="264" t="s">
        <v>168</v>
      </c>
      <c r="AB28" s="359"/>
      <c r="AC28" s="359"/>
      <c r="AD28" s="359"/>
      <c r="AE28" s="359"/>
      <c r="AF28" s="359"/>
      <c r="BE28" s="362" t="s">
        <v>91</v>
      </c>
      <c r="BF28" s="363"/>
      <c r="BG28" s="363"/>
      <c r="BH28" s="363"/>
      <c r="BI28" s="363"/>
      <c r="BJ28" s="364"/>
    </row>
    <row r="29" spans="2:63" ht="20" customHeight="1" thickBot="1">
      <c r="B29" s="189" t="s">
        <v>19</v>
      </c>
      <c r="C29" s="190"/>
      <c r="D29" s="190"/>
      <c r="E29" s="190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79"/>
      <c r="Q29" s="180"/>
      <c r="R29" s="180"/>
      <c r="S29" s="180"/>
      <c r="T29" s="181"/>
      <c r="U29" s="186" t="s">
        <v>167</v>
      </c>
      <c r="V29" s="187"/>
      <c r="W29" s="187"/>
      <c r="X29" s="187"/>
      <c r="Y29" s="188"/>
      <c r="AA29" s="264"/>
      <c r="AB29" s="374"/>
      <c r="AC29" s="374"/>
      <c r="AD29" s="374"/>
      <c r="AE29" s="374"/>
      <c r="AF29" s="374"/>
      <c r="BE29" s="345" t="s">
        <v>89</v>
      </c>
      <c r="BF29" s="347" t="s">
        <v>156</v>
      </c>
      <c r="BG29" s="348"/>
      <c r="BH29" s="348"/>
      <c r="BI29" s="348"/>
      <c r="BJ29" s="349"/>
    </row>
    <row r="30" spans="2:63" ht="20" customHeight="1" thickBot="1">
      <c r="B30" s="189"/>
      <c r="C30" s="190"/>
      <c r="D30" s="190"/>
      <c r="E30" s="190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2"/>
      <c r="Q30" s="183"/>
      <c r="R30" s="183"/>
      <c r="S30" s="183"/>
      <c r="T30" s="184"/>
      <c r="U30" s="187"/>
      <c r="V30" s="187"/>
      <c r="W30" s="187"/>
      <c r="X30" s="187"/>
      <c r="Y30" s="188"/>
      <c r="AA30" s="307" t="s">
        <v>103</v>
      </c>
      <c r="AB30" s="307"/>
      <c r="AC30" s="307"/>
      <c r="AD30" s="307" t="s">
        <v>104</v>
      </c>
      <c r="AE30" s="307"/>
      <c r="AF30" s="307"/>
      <c r="BE30" s="345"/>
      <c r="BF30" s="348"/>
      <c r="BG30" s="348"/>
      <c r="BH30" s="348"/>
      <c r="BI30" s="348"/>
      <c r="BJ30" s="349"/>
    </row>
    <row r="31" spans="2:63" ht="20" customHeight="1" thickBot="1">
      <c r="B31" s="189" t="s">
        <v>20</v>
      </c>
      <c r="C31" s="190"/>
      <c r="D31" s="190"/>
      <c r="E31" s="190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79"/>
      <c r="Q31" s="180"/>
      <c r="R31" s="180"/>
      <c r="S31" s="180"/>
      <c r="T31" s="181"/>
      <c r="U31" s="186" t="s">
        <v>167</v>
      </c>
      <c r="V31" s="187"/>
      <c r="W31" s="187"/>
      <c r="X31" s="187"/>
      <c r="Y31" s="188"/>
      <c r="AA31" s="369" t="s">
        <v>170</v>
      </c>
      <c r="AB31" s="370"/>
      <c r="AC31" s="370"/>
      <c r="AD31" s="372" t="s">
        <v>171</v>
      </c>
      <c r="AE31" s="370"/>
      <c r="AF31" s="373"/>
      <c r="BE31" s="345"/>
      <c r="BF31" s="348"/>
      <c r="BG31" s="348"/>
      <c r="BH31" s="348"/>
      <c r="BI31" s="348"/>
      <c r="BJ31" s="349"/>
    </row>
    <row r="32" spans="2:63" ht="20" customHeight="1" thickBot="1">
      <c r="B32" s="189"/>
      <c r="C32" s="190"/>
      <c r="D32" s="190"/>
      <c r="E32" s="190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2"/>
      <c r="Q32" s="183"/>
      <c r="R32" s="183"/>
      <c r="S32" s="183"/>
      <c r="T32" s="184"/>
      <c r="U32" s="187"/>
      <c r="V32" s="187"/>
      <c r="W32" s="187"/>
      <c r="X32" s="187"/>
      <c r="Y32" s="188"/>
      <c r="AA32" s="371"/>
      <c r="AB32" s="370"/>
      <c r="AC32" s="370"/>
      <c r="AD32" s="370"/>
      <c r="AE32" s="370"/>
      <c r="AF32" s="373"/>
      <c r="BE32" s="345" t="s">
        <v>90</v>
      </c>
      <c r="BF32" s="347" t="s">
        <v>157</v>
      </c>
      <c r="BG32" s="348"/>
      <c r="BH32" s="348"/>
      <c r="BI32" s="348"/>
      <c r="BJ32" s="349"/>
    </row>
    <row r="33" spans="2:62" ht="20" customHeight="1" thickBot="1">
      <c r="B33" s="189" t="s">
        <v>21</v>
      </c>
      <c r="C33" s="190"/>
      <c r="D33" s="190"/>
      <c r="E33" s="190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79"/>
      <c r="Q33" s="180"/>
      <c r="R33" s="180"/>
      <c r="S33" s="180"/>
      <c r="T33" s="181"/>
      <c r="U33" s="186" t="s">
        <v>167</v>
      </c>
      <c r="V33" s="187"/>
      <c r="W33" s="187"/>
      <c r="X33" s="187"/>
      <c r="Y33" s="188"/>
      <c r="BE33" s="345"/>
      <c r="BF33" s="348"/>
      <c r="BG33" s="348"/>
      <c r="BH33" s="348"/>
      <c r="BI33" s="348"/>
      <c r="BJ33" s="349"/>
    </row>
    <row r="34" spans="2:62" ht="20" customHeight="1" thickBot="1">
      <c r="B34" s="189"/>
      <c r="C34" s="190"/>
      <c r="D34" s="190"/>
      <c r="E34" s="190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2"/>
      <c r="Q34" s="183"/>
      <c r="R34" s="183"/>
      <c r="S34" s="183"/>
      <c r="T34" s="184"/>
      <c r="U34" s="187"/>
      <c r="V34" s="187"/>
      <c r="W34" s="187"/>
      <c r="X34" s="187"/>
      <c r="Y34" s="188"/>
      <c r="AA34" s="307" t="s">
        <v>105</v>
      </c>
      <c r="AB34" s="307"/>
      <c r="AC34" s="307"/>
      <c r="AD34" s="307"/>
      <c r="AE34" s="307"/>
      <c r="AF34" s="307"/>
      <c r="BE34" s="346"/>
      <c r="BF34" s="350"/>
      <c r="BG34" s="350"/>
      <c r="BH34" s="350"/>
      <c r="BI34" s="350"/>
      <c r="BJ34" s="351"/>
    </row>
    <row r="35" spans="2:62" ht="20" customHeight="1" thickBot="1">
      <c r="B35" s="255" t="s">
        <v>22</v>
      </c>
      <c r="C35" s="190"/>
      <c r="D35" s="190" t="s">
        <v>23</v>
      </c>
      <c r="E35" s="190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79"/>
      <c r="Q35" s="180"/>
      <c r="R35" s="180"/>
      <c r="S35" s="180"/>
      <c r="T35" s="181"/>
      <c r="U35" s="186" t="s">
        <v>167</v>
      </c>
      <c r="V35" s="187"/>
      <c r="W35" s="187"/>
      <c r="X35" s="187"/>
      <c r="Y35" s="188"/>
      <c r="AA35" s="381" t="s">
        <v>97</v>
      </c>
      <c r="AB35" s="358"/>
      <c r="AC35" s="358"/>
      <c r="AD35" s="381" t="s">
        <v>100</v>
      </c>
      <c r="AE35" s="303"/>
      <c r="AF35" s="303"/>
    </row>
    <row r="36" spans="2:62" ht="20" customHeight="1" thickBot="1">
      <c r="B36" s="189"/>
      <c r="C36" s="190"/>
      <c r="D36" s="190"/>
      <c r="E36" s="190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2"/>
      <c r="Q36" s="183"/>
      <c r="R36" s="183"/>
      <c r="S36" s="183"/>
      <c r="T36" s="184"/>
      <c r="U36" s="187"/>
      <c r="V36" s="187"/>
      <c r="W36" s="187"/>
      <c r="X36" s="187"/>
      <c r="Y36" s="188"/>
      <c r="AA36" s="382"/>
      <c r="AB36" s="359"/>
      <c r="AC36" s="359"/>
      <c r="AD36" s="382"/>
      <c r="AE36" s="303"/>
      <c r="AF36" s="303"/>
      <c r="BE36" s="400" t="s">
        <v>92</v>
      </c>
      <c r="BF36" s="401"/>
      <c r="BG36" s="401"/>
      <c r="BH36" s="401"/>
      <c r="BI36" s="401"/>
      <c r="BJ36" s="402"/>
    </row>
    <row r="37" spans="2:62" ht="20" customHeight="1" thickBot="1">
      <c r="B37" s="189"/>
      <c r="C37" s="190"/>
      <c r="D37" s="190" t="s">
        <v>24</v>
      </c>
      <c r="E37" s="190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79"/>
      <c r="Q37" s="180"/>
      <c r="R37" s="180"/>
      <c r="S37" s="180"/>
      <c r="T37" s="181"/>
      <c r="U37" s="186" t="s">
        <v>167</v>
      </c>
      <c r="V37" s="187"/>
      <c r="W37" s="187"/>
      <c r="X37" s="187"/>
      <c r="Y37" s="188"/>
      <c r="AA37" s="381" t="s">
        <v>98</v>
      </c>
      <c r="AB37" s="359"/>
      <c r="AC37" s="359"/>
      <c r="AD37" s="381" t="s">
        <v>99</v>
      </c>
      <c r="AE37" s="303"/>
      <c r="AF37" s="303"/>
      <c r="BE37" s="396"/>
      <c r="BF37" s="185"/>
      <c r="BG37" s="185"/>
      <c r="BH37" s="185"/>
      <c r="BI37" s="185"/>
      <c r="BJ37" s="397"/>
    </row>
    <row r="38" spans="2:62" ht="20" customHeight="1" thickBot="1">
      <c r="B38" s="189"/>
      <c r="C38" s="190"/>
      <c r="D38" s="190"/>
      <c r="E38" s="190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2"/>
      <c r="Q38" s="183"/>
      <c r="R38" s="183"/>
      <c r="S38" s="183"/>
      <c r="T38" s="184"/>
      <c r="U38" s="187"/>
      <c r="V38" s="187"/>
      <c r="W38" s="187"/>
      <c r="X38" s="187"/>
      <c r="Y38" s="188"/>
      <c r="AA38" s="382"/>
      <c r="AB38" s="374"/>
      <c r="AC38" s="374"/>
      <c r="AD38" s="382"/>
      <c r="AE38" s="303"/>
      <c r="AF38" s="303"/>
      <c r="BE38" s="398"/>
      <c r="BF38" s="198"/>
      <c r="BG38" s="198"/>
      <c r="BH38" s="198"/>
      <c r="BI38" s="198"/>
      <c r="BJ38" s="399"/>
    </row>
    <row r="39" spans="2:62" ht="20" customHeight="1" thickBot="1">
      <c r="B39" s="189" t="s">
        <v>25</v>
      </c>
      <c r="C39" s="190"/>
      <c r="D39" s="190"/>
      <c r="E39" s="190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79"/>
      <c r="Q39" s="180"/>
      <c r="R39" s="180"/>
      <c r="S39" s="180"/>
      <c r="T39" s="181"/>
      <c r="U39" s="186" t="s">
        <v>167</v>
      </c>
      <c r="V39" s="187"/>
      <c r="W39" s="187"/>
      <c r="X39" s="187"/>
      <c r="Y39" s="188"/>
    </row>
    <row r="40" spans="2:62" ht="20" customHeight="1" thickBot="1">
      <c r="B40" s="189"/>
      <c r="C40" s="190"/>
      <c r="D40" s="190"/>
      <c r="E40" s="190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2"/>
      <c r="Q40" s="183"/>
      <c r="R40" s="183"/>
      <c r="S40" s="183"/>
      <c r="T40" s="184"/>
      <c r="U40" s="187"/>
      <c r="V40" s="187"/>
      <c r="W40" s="187"/>
      <c r="X40" s="187"/>
      <c r="Y40" s="188"/>
      <c r="AA40" s="208" t="s">
        <v>107</v>
      </c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10"/>
    </row>
    <row r="41" spans="2:62" ht="20" customHeight="1">
      <c r="B41" s="189" t="s">
        <v>26</v>
      </c>
      <c r="C41" s="190"/>
      <c r="D41" s="190"/>
      <c r="E41" s="190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79"/>
      <c r="Q41" s="180"/>
      <c r="R41" s="180"/>
      <c r="S41" s="180"/>
      <c r="T41" s="181"/>
      <c r="U41" s="186" t="s">
        <v>167</v>
      </c>
      <c r="V41" s="187"/>
      <c r="W41" s="187"/>
      <c r="X41" s="187"/>
      <c r="Y41" s="188"/>
      <c r="AA41" s="132" t="s">
        <v>166</v>
      </c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4"/>
    </row>
    <row r="42" spans="2:62" ht="20" customHeight="1" thickBot="1">
      <c r="B42" s="196"/>
      <c r="C42" s="197"/>
      <c r="D42" s="197"/>
      <c r="E42" s="197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1"/>
      <c r="Q42" s="192"/>
      <c r="R42" s="192"/>
      <c r="S42" s="192"/>
      <c r="T42" s="193"/>
      <c r="U42" s="187"/>
      <c r="V42" s="187"/>
      <c r="W42" s="187"/>
      <c r="X42" s="187"/>
      <c r="Y42" s="188"/>
      <c r="AA42" s="135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7"/>
    </row>
    <row r="43" spans="2:62" ht="3" customHeight="1">
      <c r="B43" s="5"/>
      <c r="C43" s="5"/>
      <c r="D43" s="5"/>
      <c r="E43" s="5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135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7"/>
    </row>
    <row r="44" spans="2:62" ht="3" customHeight="1">
      <c r="B44" s="5"/>
      <c r="C44" s="95" t="s">
        <v>162</v>
      </c>
      <c r="D44"/>
      <c r="E44"/>
      <c r="F44"/>
      <c r="G44"/>
      <c r="H44"/>
      <c r="I44"/>
      <c r="J44"/>
      <c r="K44" s="344" t="s">
        <v>164</v>
      </c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AA44" s="135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7"/>
    </row>
    <row r="45" spans="2:62" ht="0.75" hidden="1" customHeight="1">
      <c r="B45" s="5"/>
      <c r="C45"/>
      <c r="D45"/>
      <c r="E45"/>
      <c r="F45"/>
      <c r="G45"/>
      <c r="H45"/>
      <c r="I45"/>
      <c r="J45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AA45" s="135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7"/>
    </row>
    <row r="46" spans="2:62" ht="6" customHeight="1">
      <c r="B46" s="262" t="s">
        <v>165</v>
      </c>
      <c r="C46" s="263"/>
      <c r="D46" s="263"/>
      <c r="E46" s="263"/>
      <c r="F46" s="263"/>
      <c r="G46" s="263"/>
      <c r="H46" s="263"/>
      <c r="I46" s="263"/>
      <c r="J46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AA46" s="135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7"/>
    </row>
    <row r="47" spans="2:62" ht="6" customHeight="1">
      <c r="B47" s="263"/>
      <c r="C47" s="263"/>
      <c r="D47" s="263"/>
      <c r="E47" s="263"/>
      <c r="F47" s="263"/>
      <c r="G47" s="263"/>
      <c r="H47" s="263"/>
      <c r="I47" s="263"/>
      <c r="J47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AA47" s="135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7"/>
    </row>
    <row r="48" spans="2:62" ht="18.75" customHeight="1">
      <c r="B48" s="263"/>
      <c r="C48" s="263"/>
      <c r="D48" s="263"/>
      <c r="E48" s="263"/>
      <c r="F48" s="263"/>
      <c r="G48" s="263"/>
      <c r="H48" s="263"/>
      <c r="I48" s="263"/>
      <c r="J48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AA48" s="135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7"/>
    </row>
    <row r="49" spans="2:64" ht="36" customHeight="1" thickBot="1">
      <c r="B49" s="263"/>
      <c r="C49" s="263"/>
      <c r="D49" s="263"/>
      <c r="E49" s="263"/>
      <c r="F49" s="263"/>
      <c r="G49" s="263"/>
      <c r="H49" s="263"/>
      <c r="I49" s="263"/>
      <c r="J49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AA49" s="138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40"/>
    </row>
    <row r="50" spans="2:64" ht="8.25" customHeight="1" thickBo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2:64" ht="21" customHeight="1">
      <c r="B51" s="256" t="s">
        <v>9</v>
      </c>
      <c r="C51" s="257"/>
      <c r="D51" s="257"/>
      <c r="E51" s="257"/>
      <c r="F51" s="257"/>
      <c r="G51" s="257"/>
      <c r="H51" s="257"/>
      <c r="I51" s="257"/>
      <c r="J51" s="257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338" t="s">
        <v>10</v>
      </c>
      <c r="V51" s="338"/>
      <c r="W51" s="339"/>
      <c r="Z51" s="415" t="s">
        <v>144</v>
      </c>
      <c r="AA51" s="295"/>
      <c r="AB51" s="295"/>
      <c r="AC51" s="295"/>
      <c r="AD51" s="200" t="s">
        <v>11</v>
      </c>
      <c r="AE51" s="200"/>
      <c r="AF51" s="200"/>
      <c r="AG51" s="200"/>
      <c r="AH51" s="200"/>
      <c r="AI51" s="200"/>
      <c r="AJ51" s="200"/>
      <c r="AK51" s="200"/>
      <c r="AL51" s="383" t="s">
        <v>132</v>
      </c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  <c r="AW51" s="385"/>
      <c r="AX51" s="200" t="s">
        <v>133</v>
      </c>
      <c r="AY51" s="200"/>
      <c r="AZ51" s="200"/>
      <c r="BA51" s="200"/>
      <c r="BB51" s="200"/>
      <c r="BC51" s="200"/>
      <c r="BD51" s="383"/>
      <c r="BE51" s="200" t="s">
        <v>134</v>
      </c>
      <c r="BF51" s="200"/>
      <c r="BG51" s="200"/>
      <c r="BH51" s="200"/>
      <c r="BI51" s="200"/>
      <c r="BJ51" s="201"/>
    </row>
    <row r="52" spans="2:64" ht="14.5" customHeight="1">
      <c r="B52" s="258"/>
      <c r="C52" s="259"/>
      <c r="D52" s="259"/>
      <c r="E52" s="259"/>
      <c r="F52" s="259"/>
      <c r="G52" s="259"/>
      <c r="H52" s="259"/>
      <c r="I52" s="259"/>
      <c r="J52" s="259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340"/>
      <c r="V52" s="340"/>
      <c r="W52" s="341"/>
      <c r="Z52" s="416"/>
      <c r="AA52" s="417"/>
      <c r="AB52" s="417"/>
      <c r="AC52" s="417"/>
      <c r="AD52" s="291"/>
      <c r="AE52" s="291"/>
      <c r="AF52" s="291"/>
      <c r="AG52" s="291"/>
      <c r="AH52" s="291"/>
      <c r="AI52" s="291"/>
      <c r="AJ52" s="291"/>
      <c r="AK52" s="291"/>
      <c r="AL52" s="322"/>
      <c r="AM52" s="323"/>
      <c r="AN52" s="323"/>
      <c r="AO52" s="323"/>
      <c r="AP52" s="323"/>
      <c r="AQ52" s="323"/>
      <c r="AR52" s="323"/>
      <c r="AS52" s="323"/>
      <c r="AT52" s="323"/>
      <c r="AU52" s="323"/>
      <c r="AV52" s="323"/>
      <c r="AW52" s="324"/>
      <c r="AX52" s="291"/>
      <c r="AY52" s="291"/>
      <c r="AZ52" s="291"/>
      <c r="BA52" s="291"/>
      <c r="BB52" s="291"/>
      <c r="BC52" s="291"/>
      <c r="BD52" s="292"/>
      <c r="BE52" s="322"/>
      <c r="BF52" s="323"/>
      <c r="BG52" s="323"/>
      <c r="BH52" s="323"/>
      <c r="BI52" s="323"/>
      <c r="BJ52" s="328"/>
    </row>
    <row r="53" spans="2:64" ht="15.75" customHeight="1" thickBot="1">
      <c r="B53" s="260"/>
      <c r="C53" s="261"/>
      <c r="D53" s="261"/>
      <c r="E53" s="261"/>
      <c r="F53" s="261"/>
      <c r="G53" s="261"/>
      <c r="H53" s="261"/>
      <c r="I53" s="261"/>
      <c r="J53" s="261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342"/>
      <c r="V53" s="342"/>
      <c r="W53" s="343"/>
      <c r="Z53" s="418"/>
      <c r="AA53" s="419"/>
      <c r="AB53" s="419"/>
      <c r="AC53" s="419"/>
      <c r="AD53" s="293"/>
      <c r="AE53" s="293"/>
      <c r="AF53" s="293"/>
      <c r="AG53" s="293"/>
      <c r="AH53" s="293"/>
      <c r="AI53" s="293"/>
      <c r="AJ53" s="293"/>
      <c r="AK53" s="293"/>
      <c r="AL53" s="325"/>
      <c r="AM53" s="326"/>
      <c r="AN53" s="326"/>
      <c r="AO53" s="326"/>
      <c r="AP53" s="326"/>
      <c r="AQ53" s="326"/>
      <c r="AR53" s="326"/>
      <c r="AS53" s="326"/>
      <c r="AT53" s="326"/>
      <c r="AU53" s="326"/>
      <c r="AV53" s="326"/>
      <c r="AW53" s="327"/>
      <c r="AX53" s="293"/>
      <c r="AY53" s="293"/>
      <c r="AZ53" s="293"/>
      <c r="BA53" s="293"/>
      <c r="BB53" s="293"/>
      <c r="BC53" s="293"/>
      <c r="BD53" s="294"/>
      <c r="BE53" s="325"/>
      <c r="BF53" s="326"/>
      <c r="BG53" s="326"/>
      <c r="BH53" s="326"/>
      <c r="BI53" s="326"/>
      <c r="BJ53" s="329"/>
    </row>
    <row r="54" spans="2:64" ht="9.75" customHeight="1" thickBot="1"/>
    <row r="55" spans="2:64" ht="22.5" customHeight="1">
      <c r="B55" s="235"/>
      <c r="C55" s="235"/>
      <c r="D55" s="236"/>
      <c r="E55" s="232" t="s">
        <v>110</v>
      </c>
      <c r="F55" s="148"/>
      <c r="G55" s="148"/>
      <c r="H55" s="148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8"/>
      <c r="AA55" s="386" t="s">
        <v>143</v>
      </c>
      <c r="AB55" s="387"/>
      <c r="AC55" s="387"/>
      <c r="AD55" s="365" t="s">
        <v>142</v>
      </c>
      <c r="AE55" s="365"/>
      <c r="AF55" s="365"/>
      <c r="AG55" s="365"/>
      <c r="AH55" s="365"/>
      <c r="AI55" s="365"/>
      <c r="AJ55" s="365"/>
      <c r="AK55" s="366"/>
      <c r="AL55" s="94"/>
      <c r="AM55" s="94"/>
      <c r="AN55" s="94"/>
      <c r="AO55" s="94"/>
      <c r="AP55" s="94"/>
      <c r="AR55" s="232" t="s">
        <v>145</v>
      </c>
      <c r="AS55" s="148"/>
      <c r="AT55" s="148"/>
      <c r="AU55" s="148"/>
      <c r="AV55" s="379"/>
      <c r="AW55" s="379"/>
      <c r="AX55" s="379"/>
      <c r="AY55" s="380"/>
      <c r="BA55" s="411" t="s">
        <v>146</v>
      </c>
      <c r="BB55" s="412"/>
      <c r="BC55" s="412"/>
      <c r="BD55" s="412"/>
      <c r="BE55" s="407"/>
      <c r="BF55" s="407"/>
      <c r="BG55" s="407"/>
      <c r="BH55" s="407"/>
      <c r="BI55" s="407"/>
      <c r="BJ55" s="408"/>
    </row>
    <row r="56" spans="2:64" ht="17.25" customHeight="1" thickBot="1">
      <c r="B56" s="235"/>
      <c r="C56" s="235"/>
      <c r="D56" s="236"/>
      <c r="E56" s="233"/>
      <c r="F56" s="234"/>
      <c r="G56" s="234"/>
      <c r="H56" s="234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40"/>
      <c r="AA56" s="388"/>
      <c r="AB56" s="389"/>
      <c r="AC56" s="389"/>
      <c r="AD56" s="367"/>
      <c r="AE56" s="367"/>
      <c r="AF56" s="367"/>
      <c r="AG56" s="367"/>
      <c r="AH56" s="367"/>
      <c r="AI56" s="367"/>
      <c r="AJ56" s="367"/>
      <c r="AK56" s="368"/>
      <c r="AL56" s="94"/>
      <c r="AM56" s="94"/>
      <c r="AN56" s="94"/>
      <c r="AO56" s="94"/>
      <c r="AP56" s="94"/>
      <c r="AR56" s="233"/>
      <c r="AS56" s="234"/>
      <c r="AT56" s="234"/>
      <c r="AU56" s="234"/>
      <c r="AV56" s="192"/>
      <c r="AW56" s="192"/>
      <c r="AX56" s="192"/>
      <c r="AY56" s="215"/>
      <c r="BA56" s="413"/>
      <c r="BB56" s="414"/>
      <c r="BC56" s="414"/>
      <c r="BD56" s="414"/>
      <c r="BE56" s="409"/>
      <c r="BF56" s="409"/>
      <c r="BG56" s="409"/>
      <c r="BH56" s="409"/>
      <c r="BI56" s="409"/>
      <c r="BJ56" s="410"/>
    </row>
    <row r="57" spans="2:64" ht="9.75" customHeight="1" thickBot="1"/>
    <row r="58" spans="2:64" ht="15.75" customHeight="1" thickBot="1">
      <c r="B58" s="247" t="s">
        <v>118</v>
      </c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9"/>
    </row>
    <row r="59" spans="2:64" ht="15.75" customHeight="1">
      <c r="B59" s="250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2"/>
      <c r="AA59" s="199" t="s">
        <v>135</v>
      </c>
      <c r="AB59" s="200"/>
      <c r="AC59" s="200"/>
      <c r="AD59" s="200" t="s">
        <v>117</v>
      </c>
      <c r="AE59" s="200"/>
      <c r="AF59" s="200"/>
      <c r="AG59" s="201"/>
      <c r="BE59" s="199" t="s">
        <v>139</v>
      </c>
      <c r="BF59" s="200"/>
      <c r="BG59" s="200"/>
      <c r="BH59" s="200"/>
      <c r="BI59" s="200"/>
      <c r="BJ59" s="201"/>
    </row>
    <row r="60" spans="2:64" ht="19.5" customHeight="1">
      <c r="B60" s="253" t="s">
        <v>14</v>
      </c>
      <c r="C60" s="254"/>
      <c r="D60" s="254"/>
      <c r="E60" s="254"/>
      <c r="F60" s="241" t="s">
        <v>128</v>
      </c>
      <c r="G60" s="242"/>
      <c r="H60" s="242"/>
      <c r="I60" s="242"/>
      <c r="J60" s="242"/>
      <c r="K60" s="241" t="s">
        <v>129</v>
      </c>
      <c r="L60" s="242"/>
      <c r="M60" s="242"/>
      <c r="N60" s="242"/>
      <c r="O60" s="242"/>
      <c r="P60" s="243" t="s">
        <v>130</v>
      </c>
      <c r="Q60" s="244"/>
      <c r="R60" s="244"/>
      <c r="S60" s="244"/>
      <c r="T60" s="245"/>
      <c r="U60" s="241" t="s">
        <v>131</v>
      </c>
      <c r="V60" s="242"/>
      <c r="W60" s="242"/>
      <c r="X60" s="242"/>
      <c r="Y60" s="246"/>
      <c r="AA60" s="224" t="s">
        <v>158</v>
      </c>
      <c r="AB60" s="225"/>
      <c r="AC60" s="225"/>
      <c r="AD60" s="403"/>
      <c r="AE60" s="403"/>
      <c r="AF60" s="403"/>
      <c r="AG60" s="404"/>
      <c r="BE60" s="396"/>
      <c r="BF60" s="185"/>
      <c r="BG60" s="185"/>
      <c r="BH60" s="185"/>
      <c r="BI60" s="185"/>
      <c r="BJ60" s="397"/>
      <c r="BK60" s="7"/>
      <c r="BL60" s="7"/>
    </row>
    <row r="61" spans="2:64" ht="20" customHeight="1" thickBot="1">
      <c r="B61" s="189" t="s">
        <v>27</v>
      </c>
      <c r="C61" s="190"/>
      <c r="D61" s="190"/>
      <c r="E61" s="190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231"/>
      <c r="Q61" s="180"/>
      <c r="R61" s="180"/>
      <c r="S61" s="180"/>
      <c r="T61" s="181"/>
      <c r="U61" s="186" t="s">
        <v>167</v>
      </c>
      <c r="V61" s="194"/>
      <c r="W61" s="194"/>
      <c r="X61" s="194"/>
      <c r="Y61" s="195"/>
      <c r="AA61" s="227"/>
      <c r="AB61" s="228"/>
      <c r="AC61" s="228"/>
      <c r="AD61" s="405"/>
      <c r="AE61" s="405"/>
      <c r="AF61" s="405"/>
      <c r="AG61" s="406"/>
      <c r="BE61" s="398"/>
      <c r="BF61" s="198"/>
      <c r="BG61" s="198"/>
      <c r="BH61" s="198"/>
      <c r="BI61" s="198"/>
      <c r="BJ61" s="399"/>
      <c r="BK61" s="7"/>
      <c r="BL61" s="7"/>
    </row>
    <row r="62" spans="2:64" ht="20" customHeight="1" thickBot="1">
      <c r="B62" s="189"/>
      <c r="C62" s="190"/>
      <c r="D62" s="190"/>
      <c r="E62" s="190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2"/>
      <c r="Q62" s="183"/>
      <c r="R62" s="183"/>
      <c r="S62" s="183"/>
      <c r="T62" s="184"/>
      <c r="U62" s="194"/>
      <c r="V62" s="194"/>
      <c r="W62" s="194"/>
      <c r="X62" s="194"/>
      <c r="Y62" s="195"/>
    </row>
    <row r="63" spans="2:64" ht="20" customHeight="1">
      <c r="B63" s="189" t="s">
        <v>28</v>
      </c>
      <c r="C63" s="190"/>
      <c r="D63" s="190"/>
      <c r="E63" s="190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79"/>
      <c r="Q63" s="180"/>
      <c r="R63" s="180"/>
      <c r="S63" s="180"/>
      <c r="T63" s="181"/>
      <c r="U63" s="186" t="s">
        <v>167</v>
      </c>
      <c r="V63" s="194"/>
      <c r="W63" s="194"/>
      <c r="X63" s="194"/>
      <c r="Y63" s="195"/>
      <c r="AA63" s="199" t="s">
        <v>136</v>
      </c>
      <c r="AB63" s="200"/>
      <c r="AC63" s="200"/>
      <c r="AD63" s="200"/>
      <c r="AE63" s="200"/>
      <c r="AF63" s="200"/>
      <c r="AG63" s="201"/>
      <c r="BE63" s="423" t="s">
        <v>140</v>
      </c>
      <c r="BF63" s="384"/>
      <c r="BG63" s="384"/>
      <c r="BH63" s="384"/>
      <c r="BI63" s="384"/>
      <c r="BJ63" s="424"/>
    </row>
    <row r="64" spans="2:64" ht="20" customHeight="1">
      <c r="B64" s="189"/>
      <c r="C64" s="190"/>
      <c r="D64" s="190"/>
      <c r="E64" s="190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2"/>
      <c r="Q64" s="183"/>
      <c r="R64" s="183"/>
      <c r="S64" s="183"/>
      <c r="T64" s="184"/>
      <c r="U64" s="194"/>
      <c r="V64" s="194"/>
      <c r="W64" s="194"/>
      <c r="X64" s="194"/>
      <c r="Y64" s="195"/>
      <c r="AA64" s="202"/>
      <c r="AB64" s="203"/>
      <c r="AC64" s="203"/>
      <c r="AD64" s="203"/>
      <c r="AE64" s="203"/>
      <c r="AF64" s="203"/>
      <c r="AG64" s="204"/>
      <c r="AH64" s="7"/>
      <c r="AI64" s="7"/>
      <c r="AJ64" s="7"/>
      <c r="BE64" s="420" t="s">
        <v>159</v>
      </c>
      <c r="BF64" s="421"/>
      <c r="BG64" s="421"/>
      <c r="BH64" s="421"/>
      <c r="BI64" s="421"/>
      <c r="BJ64" s="422"/>
    </row>
    <row r="65" spans="2:62" ht="20" customHeight="1" thickBot="1">
      <c r="B65" s="189" t="s">
        <v>29</v>
      </c>
      <c r="C65" s="190"/>
      <c r="D65" s="190"/>
      <c r="E65" s="190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79"/>
      <c r="Q65" s="180"/>
      <c r="R65" s="180"/>
      <c r="S65" s="180"/>
      <c r="T65" s="181"/>
      <c r="U65" s="186" t="s">
        <v>167</v>
      </c>
      <c r="V65" s="194"/>
      <c r="W65" s="194"/>
      <c r="X65" s="194"/>
      <c r="Y65" s="195"/>
      <c r="AA65" s="205"/>
      <c r="AB65" s="206"/>
      <c r="AC65" s="206"/>
      <c r="AD65" s="206"/>
      <c r="AE65" s="206"/>
      <c r="AF65" s="206"/>
      <c r="AG65" s="207"/>
      <c r="AH65" s="7"/>
      <c r="AI65" s="7"/>
      <c r="AJ65" s="7"/>
      <c r="BE65" s="105"/>
      <c r="BF65" s="106"/>
      <c r="BG65" s="106"/>
      <c r="BH65" s="106"/>
      <c r="BI65" s="106"/>
      <c r="BJ65" s="107"/>
    </row>
    <row r="66" spans="2:62" ht="20" customHeight="1" thickBot="1">
      <c r="B66" s="189"/>
      <c r="C66" s="190"/>
      <c r="D66" s="190"/>
      <c r="E66" s="190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2"/>
      <c r="Q66" s="183"/>
      <c r="R66" s="183"/>
      <c r="S66" s="183"/>
      <c r="T66" s="184"/>
      <c r="U66" s="194"/>
      <c r="V66" s="194"/>
      <c r="W66" s="194"/>
      <c r="X66" s="194"/>
      <c r="Y66" s="195"/>
    </row>
    <row r="67" spans="2:62" ht="20" customHeight="1">
      <c r="B67" s="189" t="s">
        <v>3</v>
      </c>
      <c r="C67" s="190"/>
      <c r="D67" s="190"/>
      <c r="E67" s="190"/>
      <c r="F67" s="230" t="s">
        <v>172</v>
      </c>
      <c r="G67" s="230"/>
      <c r="H67" s="230"/>
      <c r="I67" s="230"/>
      <c r="J67" s="230"/>
      <c r="K67" s="185"/>
      <c r="L67" s="185"/>
      <c r="M67" s="185"/>
      <c r="N67" s="185"/>
      <c r="O67" s="185"/>
      <c r="P67" s="179"/>
      <c r="Q67" s="180"/>
      <c r="R67" s="180"/>
      <c r="S67" s="180"/>
      <c r="T67" s="181"/>
      <c r="U67" s="186" t="s">
        <v>167</v>
      </c>
      <c r="V67" s="194"/>
      <c r="W67" s="194"/>
      <c r="X67" s="194"/>
      <c r="Y67" s="195"/>
      <c r="AA67" s="199" t="s">
        <v>137</v>
      </c>
      <c r="AB67" s="200"/>
      <c r="AC67" s="200"/>
      <c r="AD67" s="200"/>
      <c r="AE67" s="200"/>
      <c r="AF67" s="200"/>
      <c r="AG67" s="201"/>
      <c r="BE67" s="199" t="s">
        <v>141</v>
      </c>
      <c r="BF67" s="200"/>
      <c r="BG67" s="200"/>
      <c r="BH67" s="200"/>
      <c r="BI67" s="200"/>
      <c r="BJ67" s="201"/>
    </row>
    <row r="68" spans="2:62" ht="20" customHeight="1">
      <c r="B68" s="189"/>
      <c r="C68" s="190"/>
      <c r="D68" s="190"/>
      <c r="E68" s="190"/>
      <c r="F68" s="230"/>
      <c r="G68" s="230"/>
      <c r="H68" s="230"/>
      <c r="I68" s="230"/>
      <c r="J68" s="230"/>
      <c r="K68" s="185"/>
      <c r="L68" s="185"/>
      <c r="M68" s="185"/>
      <c r="N68" s="185"/>
      <c r="O68" s="185"/>
      <c r="P68" s="182"/>
      <c r="Q68" s="183"/>
      <c r="R68" s="183"/>
      <c r="S68" s="183"/>
      <c r="T68" s="184"/>
      <c r="U68" s="194"/>
      <c r="V68" s="194"/>
      <c r="W68" s="194"/>
      <c r="X68" s="194"/>
      <c r="Y68" s="195"/>
      <c r="AA68" s="224" t="s">
        <v>82</v>
      </c>
      <c r="AB68" s="225"/>
      <c r="AC68" s="225"/>
      <c r="AD68" s="225"/>
      <c r="AE68" s="225"/>
      <c r="AF68" s="225"/>
      <c r="AG68" s="226"/>
      <c r="BE68" s="211"/>
      <c r="BF68" s="180"/>
      <c r="BG68" s="180"/>
      <c r="BH68" s="180"/>
      <c r="BI68" s="180"/>
      <c r="BJ68" s="212"/>
    </row>
    <row r="69" spans="2:62" ht="20" customHeight="1" thickBot="1">
      <c r="B69" s="189" t="s">
        <v>30</v>
      </c>
      <c r="C69" s="190"/>
      <c r="D69" s="190"/>
      <c r="E69" s="190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79"/>
      <c r="Q69" s="180"/>
      <c r="R69" s="180"/>
      <c r="S69" s="180"/>
      <c r="T69" s="181"/>
      <c r="U69" s="186" t="s">
        <v>167</v>
      </c>
      <c r="V69" s="194"/>
      <c r="W69" s="194"/>
      <c r="X69" s="194"/>
      <c r="Y69" s="195"/>
      <c r="AA69" s="227"/>
      <c r="AB69" s="228"/>
      <c r="AC69" s="228"/>
      <c r="AD69" s="228"/>
      <c r="AE69" s="228"/>
      <c r="AF69" s="228"/>
      <c r="AG69" s="229"/>
      <c r="BE69" s="213"/>
      <c r="BF69" s="183"/>
      <c r="BG69" s="183"/>
      <c r="BH69" s="183"/>
      <c r="BI69" s="183"/>
      <c r="BJ69" s="214"/>
    </row>
    <row r="70" spans="2:62" ht="20" customHeight="1" thickBot="1">
      <c r="B70" s="189"/>
      <c r="C70" s="190"/>
      <c r="D70" s="190"/>
      <c r="E70" s="190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2"/>
      <c r="Q70" s="183"/>
      <c r="R70" s="183"/>
      <c r="S70" s="183"/>
      <c r="T70" s="184"/>
      <c r="U70" s="194"/>
      <c r="V70" s="194"/>
      <c r="W70" s="194"/>
      <c r="X70" s="194"/>
      <c r="Y70" s="195"/>
      <c r="BE70" s="216" t="s">
        <v>2</v>
      </c>
      <c r="BF70" s="179"/>
      <c r="BG70" s="180"/>
      <c r="BH70" s="180"/>
      <c r="BI70" s="180"/>
      <c r="BJ70" s="212"/>
    </row>
    <row r="71" spans="2:62" ht="20" customHeight="1" thickBot="1">
      <c r="B71" s="189" t="s">
        <v>4</v>
      </c>
      <c r="C71" s="190"/>
      <c r="D71" s="190"/>
      <c r="E71" s="190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79"/>
      <c r="Q71" s="180"/>
      <c r="R71" s="180"/>
      <c r="S71" s="180"/>
      <c r="T71" s="181"/>
      <c r="U71" s="186" t="s">
        <v>167</v>
      </c>
      <c r="V71" s="194"/>
      <c r="W71" s="194"/>
      <c r="X71" s="194"/>
      <c r="Y71" s="195"/>
      <c r="AA71" s="218" t="s">
        <v>138</v>
      </c>
      <c r="AB71" s="219"/>
      <c r="AC71" s="219"/>
      <c r="AD71" s="219"/>
      <c r="AE71" s="219"/>
      <c r="AF71" s="219"/>
      <c r="AG71" s="220"/>
      <c r="BE71" s="217"/>
      <c r="BF71" s="191"/>
      <c r="BG71" s="192"/>
      <c r="BH71" s="192"/>
      <c r="BI71" s="192"/>
      <c r="BJ71" s="215"/>
    </row>
    <row r="72" spans="2:62" ht="20" customHeight="1" thickBot="1">
      <c r="B72" s="189"/>
      <c r="C72" s="190"/>
      <c r="D72" s="190"/>
      <c r="E72" s="190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2"/>
      <c r="Q72" s="183"/>
      <c r="R72" s="183"/>
      <c r="S72" s="183"/>
      <c r="T72" s="184"/>
      <c r="U72" s="194"/>
      <c r="V72" s="194"/>
      <c r="W72" s="194"/>
      <c r="X72" s="194"/>
      <c r="Y72" s="195"/>
      <c r="AA72" s="221"/>
      <c r="AB72" s="222"/>
      <c r="AC72" s="222"/>
      <c r="AD72" s="222"/>
      <c r="AE72" s="222"/>
      <c r="AF72" s="222"/>
      <c r="AG72" s="223"/>
    </row>
    <row r="73" spans="2:62" ht="20" customHeight="1" thickBot="1">
      <c r="B73" s="189" t="s">
        <v>31</v>
      </c>
      <c r="C73" s="190"/>
      <c r="D73" s="190"/>
      <c r="E73" s="190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79"/>
      <c r="Q73" s="180"/>
      <c r="R73" s="180"/>
      <c r="S73" s="180"/>
      <c r="T73" s="181"/>
      <c r="U73" s="186" t="s">
        <v>167</v>
      </c>
      <c r="V73" s="194"/>
      <c r="W73" s="194"/>
      <c r="X73" s="194"/>
      <c r="Y73" s="195"/>
    </row>
    <row r="74" spans="2:62" ht="20" customHeight="1" thickBot="1">
      <c r="B74" s="189"/>
      <c r="C74" s="190"/>
      <c r="D74" s="190"/>
      <c r="E74" s="190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2"/>
      <c r="Q74" s="183"/>
      <c r="R74" s="183"/>
      <c r="S74" s="183"/>
      <c r="T74" s="184"/>
      <c r="U74" s="194"/>
      <c r="V74" s="194"/>
      <c r="W74" s="194"/>
      <c r="X74" s="194"/>
      <c r="Y74" s="195"/>
      <c r="AA74" s="208" t="s">
        <v>107</v>
      </c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09"/>
      <c r="BJ74" s="210"/>
    </row>
    <row r="75" spans="2:62" ht="20" customHeight="1">
      <c r="B75" s="189" t="s">
        <v>5</v>
      </c>
      <c r="C75" s="190"/>
      <c r="D75" s="190"/>
      <c r="E75" s="190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79"/>
      <c r="Q75" s="180"/>
      <c r="R75" s="180"/>
      <c r="S75" s="180"/>
      <c r="T75" s="181"/>
      <c r="U75" s="186" t="s">
        <v>167</v>
      </c>
      <c r="V75" s="194"/>
      <c r="W75" s="194"/>
      <c r="X75" s="194"/>
      <c r="Y75" s="195"/>
      <c r="AA75" s="9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390" t="s">
        <v>169</v>
      </c>
      <c r="BE75" s="391"/>
      <c r="BF75" s="391"/>
      <c r="BG75" s="391"/>
      <c r="BH75" s="391"/>
      <c r="BI75" s="391"/>
      <c r="BJ75" s="392"/>
    </row>
    <row r="76" spans="2:62" ht="20" customHeight="1" thickBot="1">
      <c r="B76" s="196"/>
      <c r="C76" s="197"/>
      <c r="D76" s="197"/>
      <c r="E76" s="197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1"/>
      <c r="Q76" s="192"/>
      <c r="R76" s="192"/>
      <c r="S76" s="192"/>
      <c r="T76" s="193"/>
      <c r="U76" s="194"/>
      <c r="V76" s="194"/>
      <c r="W76" s="194"/>
      <c r="X76" s="194"/>
      <c r="Y76" s="195"/>
      <c r="AA76" s="11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263"/>
      <c r="BE76" s="263"/>
      <c r="BF76" s="263"/>
      <c r="BG76" s="263"/>
      <c r="BH76" s="263"/>
      <c r="BI76" s="263"/>
      <c r="BJ76" s="393"/>
    </row>
    <row r="77" spans="2:62" ht="15.75" customHeight="1">
      <c r="AA77" s="13"/>
      <c r="BD77" s="263"/>
      <c r="BE77" s="263"/>
      <c r="BF77" s="263"/>
      <c r="BG77" s="263"/>
      <c r="BH77" s="263"/>
      <c r="BI77" s="263"/>
      <c r="BJ77" s="393"/>
    </row>
    <row r="78" spans="2:62" ht="44.25" customHeight="1" thickBot="1">
      <c r="AA78" s="92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394"/>
      <c r="BE78" s="394"/>
      <c r="BF78" s="394"/>
      <c r="BG78" s="394"/>
      <c r="BH78" s="394"/>
      <c r="BI78" s="394"/>
      <c r="BJ78" s="395"/>
    </row>
    <row r="79" spans="2:62" ht="15.75" customHeight="1"/>
    <row r="80" spans="2:6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</sheetData>
  <mergeCells count="251">
    <mergeCell ref="BD75:BJ78"/>
    <mergeCell ref="BE59:BJ59"/>
    <mergeCell ref="BE60:BJ61"/>
    <mergeCell ref="BE36:BJ36"/>
    <mergeCell ref="AD37:AD38"/>
    <mergeCell ref="AA59:AC59"/>
    <mergeCell ref="AD59:AG59"/>
    <mergeCell ref="AD60:AG61"/>
    <mergeCell ref="AA60:AC61"/>
    <mergeCell ref="BE51:BJ51"/>
    <mergeCell ref="BE55:BJ56"/>
    <mergeCell ref="BA55:BD56"/>
    <mergeCell ref="BE37:BJ38"/>
    <mergeCell ref="AE35:AF36"/>
    <mergeCell ref="AB35:AC36"/>
    <mergeCell ref="BE52:BJ53"/>
    <mergeCell ref="Z51:AC53"/>
    <mergeCell ref="AD51:AK51"/>
    <mergeCell ref="AD52:AK53"/>
    <mergeCell ref="AA40:BJ40"/>
    <mergeCell ref="BE64:BJ65"/>
    <mergeCell ref="BE67:BJ67"/>
    <mergeCell ref="BE63:BJ63"/>
    <mergeCell ref="AA67:AG67"/>
    <mergeCell ref="AD15:AF16"/>
    <mergeCell ref="AG15:AI16"/>
    <mergeCell ref="AD55:AK56"/>
    <mergeCell ref="AA31:AC32"/>
    <mergeCell ref="AD31:AF32"/>
    <mergeCell ref="AA30:AC30"/>
    <mergeCell ref="AD30:AF30"/>
    <mergeCell ref="AB28:AF29"/>
    <mergeCell ref="AV22:AY22"/>
    <mergeCell ref="AA26:AA27"/>
    <mergeCell ref="AB26:AF27"/>
    <mergeCell ref="AV55:AY56"/>
    <mergeCell ref="AA23:AF23"/>
    <mergeCell ref="AA35:AA36"/>
    <mergeCell ref="AA37:AA38"/>
    <mergeCell ref="AX51:BD51"/>
    <mergeCell ref="AL51:AW51"/>
    <mergeCell ref="AL52:AW53"/>
    <mergeCell ref="AR55:AU56"/>
    <mergeCell ref="AA55:AC56"/>
    <mergeCell ref="AX52:BD53"/>
    <mergeCell ref="AB37:AC38"/>
    <mergeCell ref="AE37:AF38"/>
    <mergeCell ref="AD35:AD36"/>
    <mergeCell ref="BE32:BE34"/>
    <mergeCell ref="BF32:BJ34"/>
    <mergeCell ref="AA34:AF34"/>
    <mergeCell ref="AG20:AM21"/>
    <mergeCell ref="AN20:AT21"/>
    <mergeCell ref="Q15:T16"/>
    <mergeCell ref="AA15:AC16"/>
    <mergeCell ref="AG19:AM19"/>
    <mergeCell ref="AN19:AT19"/>
    <mergeCell ref="AV23:AY24"/>
    <mergeCell ref="BF29:BJ31"/>
    <mergeCell ref="BE29:BE31"/>
    <mergeCell ref="BA20:BE21"/>
    <mergeCell ref="BF19:BJ19"/>
    <mergeCell ref="BF20:BJ21"/>
    <mergeCell ref="AU20:AZ21"/>
    <mergeCell ref="AA24:AA25"/>
    <mergeCell ref="AB24:AF25"/>
    <mergeCell ref="BE24:BJ24"/>
    <mergeCell ref="BE25:BJ26"/>
    <mergeCell ref="P23:T24"/>
    <mergeCell ref="AM15:AO16"/>
    <mergeCell ref="AP15:AR16"/>
    <mergeCell ref="BE28:BJ28"/>
    <mergeCell ref="U51:W53"/>
    <mergeCell ref="U39:Y40"/>
    <mergeCell ref="U37:Y38"/>
    <mergeCell ref="U41:Y42"/>
    <mergeCell ref="U29:Y30"/>
    <mergeCell ref="U33:Y34"/>
    <mergeCell ref="F21:J22"/>
    <mergeCell ref="K20:O20"/>
    <mergeCell ref="K21:O22"/>
    <mergeCell ref="P20:T20"/>
    <mergeCell ref="P21:T22"/>
    <mergeCell ref="U20:Y20"/>
    <mergeCell ref="U21:Y22"/>
    <mergeCell ref="K51:T53"/>
    <mergeCell ref="P37:T38"/>
    <mergeCell ref="U35:Y36"/>
    <mergeCell ref="P27:T28"/>
    <mergeCell ref="U23:Y24"/>
    <mergeCell ref="U27:Y28"/>
    <mergeCell ref="K27:O28"/>
    <mergeCell ref="U31:Y32"/>
    <mergeCell ref="K44:Y49"/>
    <mergeCell ref="K39:O40"/>
    <mergeCell ref="P39:T40"/>
    <mergeCell ref="B20:E20"/>
    <mergeCell ref="AA20:AF21"/>
    <mergeCell ref="BE11:BJ11"/>
    <mergeCell ref="AA19:AF19"/>
    <mergeCell ref="BA19:BE19"/>
    <mergeCell ref="B1:K2"/>
    <mergeCell ref="AH1:AO2"/>
    <mergeCell ref="AP1:BJ2"/>
    <mergeCell ref="L1:AG2"/>
    <mergeCell ref="L6:N7"/>
    <mergeCell ref="H6:K7"/>
    <mergeCell ref="B15:G16"/>
    <mergeCell ref="H15:N16"/>
    <mergeCell ref="AA18:BJ18"/>
    <mergeCell ref="AX11:BD11"/>
    <mergeCell ref="AU19:AZ19"/>
    <mergeCell ref="AL11:AW11"/>
    <mergeCell ref="AL12:AW13"/>
    <mergeCell ref="BE12:BJ13"/>
    <mergeCell ref="AT15:AW16"/>
    <mergeCell ref="AX15:BA16"/>
    <mergeCell ref="BB15:BF16"/>
    <mergeCell ref="BG15:BJ16"/>
    <mergeCell ref="AJ15:AL16"/>
    <mergeCell ref="B23:E24"/>
    <mergeCell ref="AA28:AA29"/>
    <mergeCell ref="B6:D7"/>
    <mergeCell ref="E6:G7"/>
    <mergeCell ref="BI6:BJ7"/>
    <mergeCell ref="AS6:AU7"/>
    <mergeCell ref="AV6:AY7"/>
    <mergeCell ref="AN6:AP7"/>
    <mergeCell ref="B21:E22"/>
    <mergeCell ref="B18:Y19"/>
    <mergeCell ref="B11:J13"/>
    <mergeCell ref="K11:T13"/>
    <mergeCell ref="U11:W13"/>
    <mergeCell ref="AX12:BD13"/>
    <mergeCell ref="F20:J20"/>
    <mergeCell ref="AD11:AK11"/>
    <mergeCell ref="AD12:AK13"/>
    <mergeCell ref="BB6:BD7"/>
    <mergeCell ref="BE6:BH7"/>
    <mergeCell ref="Z11:AC13"/>
    <mergeCell ref="AZ6:BA7"/>
    <mergeCell ref="F23:J24"/>
    <mergeCell ref="K23:O24"/>
    <mergeCell ref="B29:E30"/>
    <mergeCell ref="K37:O38"/>
    <mergeCell ref="F29:J30"/>
    <mergeCell ref="K29:O30"/>
    <mergeCell ref="P29:T30"/>
    <mergeCell ref="K35:O36"/>
    <mergeCell ref="F37:J38"/>
    <mergeCell ref="K41:O42"/>
    <mergeCell ref="F33:J34"/>
    <mergeCell ref="K33:O34"/>
    <mergeCell ref="P33:T34"/>
    <mergeCell ref="P35:T36"/>
    <mergeCell ref="K31:O32"/>
    <mergeCell ref="P41:T42"/>
    <mergeCell ref="D37:E38"/>
    <mergeCell ref="B35:C38"/>
    <mergeCell ref="D35:E36"/>
    <mergeCell ref="B33:E34"/>
    <mergeCell ref="B31:E32"/>
    <mergeCell ref="B51:J53"/>
    <mergeCell ref="F39:J40"/>
    <mergeCell ref="F27:J28"/>
    <mergeCell ref="F31:J32"/>
    <mergeCell ref="F41:J42"/>
    <mergeCell ref="B46:I49"/>
    <mergeCell ref="B39:E40"/>
    <mergeCell ref="B41:E42"/>
    <mergeCell ref="P61:T62"/>
    <mergeCell ref="U61:Y62"/>
    <mergeCell ref="B63:E64"/>
    <mergeCell ref="P65:T66"/>
    <mergeCell ref="U65:Y66"/>
    <mergeCell ref="E55:H56"/>
    <mergeCell ref="F63:J64"/>
    <mergeCell ref="K63:O64"/>
    <mergeCell ref="P63:T64"/>
    <mergeCell ref="U63:Y64"/>
    <mergeCell ref="B61:E62"/>
    <mergeCell ref="F61:J62"/>
    <mergeCell ref="K61:O62"/>
    <mergeCell ref="B55:D56"/>
    <mergeCell ref="I55:X56"/>
    <mergeCell ref="K60:O60"/>
    <mergeCell ref="P60:T60"/>
    <mergeCell ref="U60:Y60"/>
    <mergeCell ref="B58:Y59"/>
    <mergeCell ref="B60:E60"/>
    <mergeCell ref="F60:J60"/>
    <mergeCell ref="AA63:AG63"/>
    <mergeCell ref="AA64:AG65"/>
    <mergeCell ref="B65:E66"/>
    <mergeCell ref="U73:Y74"/>
    <mergeCell ref="AA74:BJ74"/>
    <mergeCell ref="BE68:BJ69"/>
    <mergeCell ref="BF70:BJ71"/>
    <mergeCell ref="BE70:BE71"/>
    <mergeCell ref="AA71:AG72"/>
    <mergeCell ref="AA68:AG69"/>
    <mergeCell ref="K69:O70"/>
    <mergeCell ref="P69:T70"/>
    <mergeCell ref="U69:Y70"/>
    <mergeCell ref="B71:E72"/>
    <mergeCell ref="F65:J66"/>
    <mergeCell ref="K65:O66"/>
    <mergeCell ref="F71:J72"/>
    <mergeCell ref="K71:O72"/>
    <mergeCell ref="P71:T72"/>
    <mergeCell ref="U71:Y72"/>
    <mergeCell ref="B67:E68"/>
    <mergeCell ref="F67:J68"/>
    <mergeCell ref="K67:O68"/>
    <mergeCell ref="P67:T68"/>
    <mergeCell ref="P75:T76"/>
    <mergeCell ref="U75:Y76"/>
    <mergeCell ref="B75:E76"/>
    <mergeCell ref="U67:Y68"/>
    <mergeCell ref="B69:E70"/>
    <mergeCell ref="F69:J70"/>
    <mergeCell ref="B73:E74"/>
    <mergeCell ref="F73:J74"/>
    <mergeCell ref="K73:O74"/>
    <mergeCell ref="P73:T74"/>
    <mergeCell ref="F75:J76"/>
    <mergeCell ref="K75:O76"/>
    <mergeCell ref="B3:I4"/>
    <mergeCell ref="J3:S4"/>
    <mergeCell ref="Y3:AG4"/>
    <mergeCell ref="T3:X4"/>
    <mergeCell ref="AH3:AO4"/>
    <mergeCell ref="AP3:BJ4"/>
    <mergeCell ref="AA41:BJ49"/>
    <mergeCell ref="AO23:AT24"/>
    <mergeCell ref="AO22:AT22"/>
    <mergeCell ref="O6:S7"/>
    <mergeCell ref="T6:V7"/>
    <mergeCell ref="W6:AA7"/>
    <mergeCell ref="AB6:AD7"/>
    <mergeCell ref="AE6:AJ7"/>
    <mergeCell ref="AK6:AM7"/>
    <mergeCell ref="AQ6:AR7"/>
    <mergeCell ref="P31:T32"/>
    <mergeCell ref="F35:J36"/>
    <mergeCell ref="F25:J26"/>
    <mergeCell ref="K25:O26"/>
    <mergeCell ref="P25:T26"/>
    <mergeCell ref="U25:Y26"/>
    <mergeCell ref="B27:E28"/>
    <mergeCell ref="B25:E26"/>
  </mergeCells>
  <phoneticPr fontId="1" type="noConversion"/>
  <printOptions horizontalCentered="1"/>
  <pageMargins left="0.23622047244094491" right="0.23622047244094491" top="0.55118110236220474" bottom="0.27559055118110237" header="0.31496062992125984" footer="0.31496062992125984"/>
  <pageSetup paperSize="9" scale="52" fitToHeight="0" orientation="portrait" horizontalDpi="4294967294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18</vt:i4>
      </vt:variant>
    </vt:vector>
  </HeadingPairs>
  <TitlesOfParts>
    <vt:vector size="22" baseType="lpstr">
      <vt:lpstr>바지 (2)</vt:lpstr>
      <vt:lpstr>바지</vt:lpstr>
      <vt:lpstr>자켓</vt:lpstr>
      <vt:lpstr>작업지시서 (송파)</vt:lpstr>
      <vt:lpstr>'바지 (2)'!레귤러바지_노턱</vt:lpstr>
      <vt:lpstr>레귤러바지_노턱</vt:lpstr>
      <vt:lpstr>링자켓</vt:lpstr>
      <vt:lpstr>'바지 (2)'!바지패턴</vt:lpstr>
      <vt:lpstr>바지패턴</vt:lpstr>
      <vt:lpstr>'바지 (2)'!슬림바지_노턱</vt:lpstr>
      <vt:lpstr>슬림바지_노턱</vt:lpstr>
      <vt:lpstr>'바지 (2)'!슬림바지_원턱</vt:lpstr>
      <vt:lpstr>슬림바지_원턱</vt:lpstr>
      <vt:lpstr>자켓패턴</vt:lpstr>
      <vt:lpstr>클래식</vt:lpstr>
      <vt:lpstr>'바지 (2)'!클래식바지_원턱</vt:lpstr>
      <vt:lpstr>클래식바지_원턱</vt:lpstr>
      <vt:lpstr>'바지 (2)'!ISAIA바지_노턱</vt:lpstr>
      <vt:lpstr>ISAIA바지_노턱</vt:lpstr>
      <vt:lpstr>SJ_1</vt:lpstr>
      <vt:lpstr>SJ_2</vt:lpstr>
      <vt:lpstr>SJ_3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dae won seo</cp:lastModifiedBy>
  <cp:lastPrinted>2026-05-21T07:27:06Z</cp:lastPrinted>
  <dcterms:created xsi:type="dcterms:W3CDTF">2016-11-11T04:16:48Z</dcterms:created>
  <dcterms:modified xsi:type="dcterms:W3CDTF">2026-07-23T05:22:37Z</dcterms:modified>
</cp:coreProperties>
</file>